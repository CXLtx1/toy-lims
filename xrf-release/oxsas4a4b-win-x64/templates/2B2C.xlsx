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文件\Projects\toy-lims\"/>
    </mc:Choice>
  </mc:AlternateContent>
  <xr:revisionPtr revIDLastSave="0" documentId="8_{F8E92575-EE9E-49B4-922A-3B7CB6FAA56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渣" sheetId="3" r:id="rId1"/>
    <sheet name="灰" sheetId="2" r:id="rId2"/>
    <sheet name="冰铜" sheetId="4" r:id="rId3"/>
    <sheet name="除尘灰" sheetId="7" r:id="rId4"/>
    <sheet name="锅炉灰" sheetId="8" r:id="rId5"/>
    <sheet name="1" sheetId="10" r:id="rId6"/>
    <sheet name="Sheet3" sheetId="12" r:id="rId7"/>
    <sheet name="Sheet1" sheetId="13" r:id="rId8"/>
  </sheets>
  <definedNames>
    <definedName name="_xlnm._FilterDatabase" localSheetId="5" hidden="1">'1'!$A$1:$G$14</definedName>
    <definedName name="_xlnm._FilterDatabase" localSheetId="1" hidden="1">灰!#REF!</definedName>
    <definedName name="_xlnm._FilterDatabase" localSheetId="0" hidden="1">渣!$A$1:$G$14</definedName>
    <definedName name="_xlnm.Print_Area" localSheetId="5">'1'!$A$1:$G$14</definedName>
    <definedName name="_xlnm.Print_Area" localSheetId="0">渣!$A$1:$G$14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0" l="1"/>
  <c r="E17" i="10"/>
  <c r="B17" i="10"/>
  <c r="A17" i="10"/>
</calcChain>
</file>

<file path=xl/sharedStrings.xml><?xml version="1.0" encoding="utf-8"?>
<sst xmlns="http://schemas.openxmlformats.org/spreadsheetml/2006/main" count="305" uniqueCount="80">
  <si>
    <t>注意：日期后写上送样时间！！！！！</t>
  </si>
  <si>
    <t>样品编号</t>
  </si>
  <si>
    <t>分析元素</t>
  </si>
  <si>
    <t>SiO2</t>
  </si>
  <si>
    <t>MgO</t>
  </si>
  <si>
    <t>Al2O3</t>
  </si>
  <si>
    <t>CaO</t>
  </si>
  <si>
    <t>Fe</t>
  </si>
  <si>
    <t>Ni</t>
  </si>
  <si>
    <t>Cu</t>
  </si>
  <si>
    <t>Cr</t>
  </si>
  <si>
    <t>Zn</t>
  </si>
  <si>
    <t>分析：</t>
  </si>
  <si>
    <t>审核：</t>
  </si>
  <si>
    <t>硅钙铁 合量</t>
  </si>
  <si>
    <t>Sn</t>
  </si>
  <si>
    <t>Pb</t>
  </si>
  <si>
    <t>Ag</t>
  </si>
  <si>
    <t>Cl</t>
  </si>
  <si>
    <t>S</t>
  </si>
  <si>
    <t>Cd</t>
  </si>
  <si>
    <t>As</t>
  </si>
  <si>
    <t>Hg</t>
  </si>
  <si>
    <t xml:space="preserve"> 荧光分析结果</t>
  </si>
  <si>
    <t>润虹除尘灰</t>
  </si>
  <si>
    <t>S(%)</t>
  </si>
  <si>
    <r>
      <rPr>
        <b/>
        <sz val="12"/>
        <color theme="1"/>
        <rFont val="宋体"/>
        <charset val="134"/>
      </rPr>
      <t>Cl</t>
    </r>
    <r>
      <rPr>
        <b/>
        <vertAlign val="superscript"/>
        <sz val="12"/>
        <color theme="1"/>
        <rFont val="宋体"/>
        <charset val="134"/>
      </rPr>
      <t>-</t>
    </r>
    <r>
      <rPr>
        <b/>
        <sz val="12"/>
        <color theme="1"/>
        <rFont val="宋体"/>
        <charset val="134"/>
      </rPr>
      <t>(%)</t>
    </r>
  </si>
  <si>
    <t>CaO(%)</t>
  </si>
  <si>
    <t>Cr(%)</t>
  </si>
  <si>
    <t>Fe(%)</t>
  </si>
  <si>
    <t>Ni(%)</t>
  </si>
  <si>
    <t>Cu(%)</t>
  </si>
  <si>
    <t>Zn(%)</t>
  </si>
  <si>
    <t>Ag(ppm）</t>
  </si>
  <si>
    <t>Cd(%)</t>
  </si>
  <si>
    <t>Sn(%)</t>
  </si>
  <si>
    <t>Pb(%)</t>
  </si>
  <si>
    <t>4B-1.31</t>
  </si>
  <si>
    <t>4B-2.1</t>
  </si>
  <si>
    <t>4B-2.3</t>
  </si>
  <si>
    <t>4B-2.4</t>
  </si>
  <si>
    <t>RC20260202-4B-1</t>
  </si>
  <si>
    <t>RC20260202-4B-2</t>
  </si>
  <si>
    <t>RC20260202-4B-3</t>
  </si>
  <si>
    <t>RC20260203-4B-1</t>
  </si>
  <si>
    <t>RC20260203-4B-2</t>
  </si>
  <si>
    <t>RC20260203-4B-3</t>
  </si>
  <si>
    <t>RC20260204-4B-1</t>
  </si>
  <si>
    <t>RC20260204-4B-2</t>
  </si>
  <si>
    <t>RC20260204-4B-3</t>
  </si>
  <si>
    <t>润虹锅炉灰</t>
  </si>
  <si>
    <t>RC20260202-4A-1</t>
  </si>
  <si>
    <t>RC20260202-4A-2</t>
  </si>
  <si>
    <t>RC20260202-4A-3</t>
  </si>
  <si>
    <t>RC20260203-4A-1</t>
  </si>
  <si>
    <t>RC20260203-4A-2</t>
  </si>
  <si>
    <t>RC20260203-4A-3</t>
  </si>
  <si>
    <t>RC20260204-4A-1</t>
  </si>
  <si>
    <t>RC20260204-4A-2</t>
  </si>
  <si>
    <t>RC20260204-4A-3</t>
  </si>
  <si>
    <t>分析结果%</t>
  </si>
  <si>
    <t>镍铜 合量</t>
  </si>
  <si>
    <t>Co</t>
  </si>
  <si>
    <t>Mn</t>
  </si>
  <si>
    <t>Mo</t>
  </si>
  <si>
    <t>K</t>
  </si>
  <si>
    <t>Na</t>
  </si>
  <si>
    <t>F</t>
  </si>
  <si>
    <t>%</t>
  </si>
  <si>
    <t>)</t>
  </si>
  <si>
    <t>日期：2026.06.11</t>
  </si>
  <si>
    <t>送样时间13:15</t>
  </si>
  <si>
    <t>横隔膜</t>
  </si>
  <si>
    <t>日期：2026.08.27</t>
  </si>
  <si>
    <t>送样时间8:20</t>
  </si>
  <si>
    <t>RC20260827-4A-2</t>
  </si>
  <si>
    <t>RC20260827-4B-2</t>
  </si>
  <si>
    <t>RC20260827-2B-4</t>
  </si>
  <si>
    <t>RC20260827-2C-4</t>
  </si>
  <si>
    <t>送样时12:55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</si>
</sst>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 "/>
    <numFmt numFmtId="177" formatCode="0.00_ "/>
    <numFmt numFmtId="178" formatCode="0.000"/>
  </numFmts>
  <fonts count="23" x14ac:knownFonts="1">
    <font>
      <sz val="11"/>
      <color theme="1"/>
      <name val="宋体"/>
      <charset val="134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22"/>
      <color theme="1"/>
      <name val="宋体"/>
      <charset val="134"/>
    </font>
    <font>
      <b/>
      <sz val="22"/>
      <color theme="1"/>
      <name val="Times New Roman"/>
      <family val="1"/>
    </font>
    <font>
      <b/>
      <sz val="12"/>
      <color theme="1"/>
      <name val="宋体"/>
      <charset val="134"/>
    </font>
    <font>
      <b/>
      <sz val="12"/>
      <color rgb="FFFF0000"/>
      <name val="宋体"/>
      <charset val="134"/>
    </font>
    <font>
      <b/>
      <sz val="20"/>
      <color theme="1"/>
      <name val="宋体"/>
      <charset val="134"/>
    </font>
    <font>
      <b/>
      <sz val="20"/>
      <color rgb="FFFF0000"/>
      <name val="宋体"/>
      <charset val="134"/>
    </font>
    <font>
      <b/>
      <sz val="18"/>
      <color theme="1"/>
      <name val="宋体"/>
      <charset val="134"/>
    </font>
    <font>
      <b/>
      <sz val="12"/>
      <color theme="1"/>
      <name val="宋体"/>
      <family val="2"/>
      <scheme val="minor"/>
    </font>
    <font>
      <b/>
      <sz val="20"/>
      <color theme="1"/>
      <name val="宋体"/>
      <family val="2"/>
      <scheme val="minor"/>
    </font>
    <font>
      <b/>
      <sz val="13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b/>
      <sz val="11"/>
      <color theme="9" tint="-0.249977111117893"/>
      <name val="宋体"/>
      <family val="2"/>
      <scheme val="minor"/>
    </font>
    <font>
      <b/>
      <sz val="20"/>
      <color rgb="FFFF0000"/>
      <name val="宋体"/>
      <family val="2"/>
      <scheme val="minor"/>
    </font>
    <font>
      <b/>
      <vertAlign val="superscript"/>
      <sz val="12"/>
      <color theme="1"/>
      <name val="宋体"/>
      <charset val="134"/>
    </font>
    <font>
      <b/>
      <sz val="11"/>
      <color theme="1"/>
      <name val="宋体"/>
      <family val="2"/>
      <scheme val="minor"/>
    </font>
    <font>
      <b/>
      <sz val="13"/>
      <color theme="1"/>
      <name val="宋体"/>
      <family val="2"/>
      <scheme val="minor"/>
    </font>
    <font>
      <b/>
      <sz val="12"/>
      <color theme="1"/>
      <name val="宋体"/>
      <family val="2"/>
      <scheme val="minor"/>
    </font>
    <font>
      <b/>
      <sz val="10"/>
      <name val="Arial"/>
      <family val="2"/>
    </font>
    <font>
      <b/>
      <sz val="10"/>
      <name val="Arial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177" fontId="1" fillId="0" borderId="0" xfId="0" applyNumberFormat="1" applyFont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10" fontId="10" fillId="0" borderId="0" xfId="0" applyNumberFormat="1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12" fillId="0" borderId="0" xfId="0" applyNumberFormat="1" applyFont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10" fontId="12" fillId="0" borderId="1" xfId="0" applyNumberFormat="1" applyFont="1" applyBorder="1" applyAlignment="1">
      <alignment horizontal="center" vertical="center"/>
    </xf>
    <xf numFmtId="10" fontId="13" fillId="0" borderId="1" xfId="0" applyNumberFormat="1" applyFont="1" applyBorder="1" applyAlignment="1">
      <alignment horizontal="center" vertical="center"/>
    </xf>
    <xf numFmtId="10" fontId="14" fillId="0" borderId="0" xfId="0" applyNumberFormat="1" applyFont="1" applyAlignment="1">
      <alignment horizontal="center" vertical="center"/>
    </xf>
    <xf numFmtId="10" fontId="15" fillId="0" borderId="0" xfId="0" applyNumberFormat="1" applyFont="1" applyAlignment="1">
      <alignment horizontal="left" vertical="center"/>
    </xf>
    <xf numFmtId="2" fontId="13" fillId="0" borderId="1" xfId="0" applyNumberFormat="1" applyFont="1" applyBorder="1" applyAlignment="1">
      <alignment horizontal="center" vertical="center"/>
    </xf>
    <xf numFmtId="10" fontId="18" fillId="0" borderId="1" xfId="0" applyNumberFormat="1" applyFont="1" applyBorder="1" applyAlignment="1">
      <alignment horizontal="center" vertical="center" shrinkToFit="1"/>
    </xf>
    <xf numFmtId="2" fontId="5" fillId="0" borderId="1" xfId="0" applyNumberFormat="1" applyFont="1" applyBorder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10" fontId="17" fillId="0" borderId="1" xfId="0" applyNumberFormat="1" applyFont="1" applyBorder="1" applyAlignment="1">
      <alignment horizontal="center" vertical="center"/>
    </xf>
    <xf numFmtId="10" fontId="13" fillId="0" borderId="1" xfId="0" applyNumberFormat="1" applyFont="1" applyBorder="1" applyAlignment="1">
      <alignment horizontal="left" vertical="center"/>
    </xf>
    <xf numFmtId="178" fontId="5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20" fillId="0" borderId="0" xfId="0" applyFont="1" applyAlignment="1">
      <alignment horizontal="right"/>
    </xf>
    <xf numFmtId="0" fontId="13" fillId="0" borderId="0" xfId="0" applyFont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0" fillId="0" borderId="0" xfId="0" applyAlignment="1"/>
    <xf numFmtId="10" fontId="17" fillId="0" borderId="1" xfId="0" applyNumberFormat="1" applyFont="1" applyBorder="1" applyAlignment="1">
      <alignment horizontal="left" vertical="center"/>
    </xf>
    <xf numFmtId="10" fontId="5" fillId="0" borderId="1" xfId="0" applyNumberFormat="1" applyFont="1" applyBorder="1" applyAlignment="1">
      <alignment horizontal="left" vertical="center"/>
    </xf>
    <xf numFmtId="0" fontId="21" fillId="0" borderId="0" xfId="0" applyFont="1" applyAlignment="1">
      <alignment horizontal="right"/>
    </xf>
    <xf numFmtId="10" fontId="11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left" vertical="center"/>
    </xf>
    <xf numFmtId="20" fontId="10" fillId="0" borderId="1" xfId="0" applyNumberFormat="1" applyFont="1" applyBorder="1" applyAlignment="1">
      <alignment horizontal="left" vertical="center"/>
    </xf>
    <xf numFmtId="10" fontId="5" fillId="0" borderId="1" xfId="0" applyNumberFormat="1" applyFont="1" applyBorder="1" applyAlignment="1">
      <alignment horizontal="left" vertical="center"/>
    </xf>
    <xf numFmtId="10" fontId="10" fillId="0" borderId="1" xfId="0" applyNumberFormat="1" applyFont="1" applyBorder="1" applyAlignment="1">
      <alignment horizontal="center" vertical="center" wrapText="1"/>
    </xf>
    <xf numFmtId="10" fontId="10" fillId="0" borderId="2" xfId="0" applyNumberFormat="1" applyFont="1" applyBorder="1" applyAlignment="1">
      <alignment horizontal="left" vertical="center"/>
    </xf>
    <xf numFmtId="10" fontId="10" fillId="0" borderId="3" xfId="0" applyNumberFormat="1" applyFont="1" applyBorder="1" applyAlignment="1">
      <alignment horizontal="left" vertical="center"/>
    </xf>
    <xf numFmtId="10" fontId="10" fillId="0" borderId="4" xfId="0" applyNumberFormat="1" applyFont="1" applyBorder="1" applyAlignment="1">
      <alignment horizontal="left" vertical="center"/>
    </xf>
    <xf numFmtId="20" fontId="10" fillId="0" borderId="2" xfId="0" applyNumberFormat="1" applyFont="1" applyBorder="1" applyAlignment="1">
      <alignment horizontal="left" vertical="center"/>
    </xf>
    <xf numFmtId="20" fontId="10" fillId="0" borderId="3" xfId="0" applyNumberFormat="1" applyFont="1" applyBorder="1" applyAlignment="1">
      <alignment horizontal="left" vertical="center"/>
    </xf>
    <xf numFmtId="20" fontId="10" fillId="0" borderId="4" xfId="0" applyNumberFormat="1" applyFont="1" applyBorder="1" applyAlignment="1">
      <alignment horizontal="left" vertical="center"/>
    </xf>
    <xf numFmtId="176" fontId="7" fillId="2" borderId="1" xfId="0" applyNumberFormat="1" applyFont="1" applyFill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20" fontId="19" fillId="0" borderId="1" xfId="0" applyNumberFormat="1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E419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2</xdr:row>
      <xdr:rowOff>6350</xdr:rowOff>
    </xdr:from>
    <xdr:ext cx="309880" cy="276860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9639300" y="831850"/>
          <a:ext cx="309880" cy="2768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en-US" altLang="zh-CN" sz="110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2</xdr:row>
      <xdr:rowOff>6350</xdr:rowOff>
    </xdr:from>
    <xdr:ext cx="309880" cy="276860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6515100" y="844550"/>
          <a:ext cx="309880" cy="2768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en-US" altLang="zh-CN" sz="110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2"/>
  <sheetViews>
    <sheetView tabSelected="1" workbookViewId="0">
      <selection activeCell="E11" sqref="E11"/>
    </sheetView>
  </sheetViews>
  <sheetFormatPr defaultColWidth="9" defaultRowHeight="21.95" customHeight="1" x14ac:dyDescent="0.3"/>
  <cols>
    <col min="1" max="1" width="17.59765625" style="14" customWidth="1"/>
    <col min="2" max="2" width="10.3984375" style="14" customWidth="1"/>
    <col min="3" max="3" width="12.3984375" style="14" customWidth="1"/>
    <col min="4" max="4" width="3.86328125" style="14" customWidth="1"/>
    <col min="5" max="5" width="17.73046875" style="14" customWidth="1"/>
    <col min="6" max="6" width="10.3984375" style="14" customWidth="1"/>
    <col min="7" max="7" width="13.265625" style="14" customWidth="1"/>
    <col min="8" max="8" width="12" style="14" customWidth="1"/>
    <col min="9" max="9" width="15.265625" style="14" customWidth="1"/>
    <col min="10" max="16384" width="9" style="14"/>
  </cols>
  <sheetData>
    <row r="1" spans="1:61" ht="33" customHeight="1" x14ac:dyDescent="0.3">
      <c r="A1" s="34" t="s">
        <v>23</v>
      </c>
      <c r="B1" s="34"/>
      <c r="C1" s="34"/>
      <c r="D1" s="34"/>
      <c r="E1" s="34"/>
      <c r="F1" s="34"/>
      <c r="G1" s="34"/>
      <c r="H1" s="18"/>
    </row>
    <row r="2" spans="1:61" s="10" customFormat="1" ht="33" customHeight="1" x14ac:dyDescent="0.4">
      <c r="A2" s="35" t="s">
        <v>73</v>
      </c>
      <c r="B2" s="35"/>
      <c r="C2" s="35"/>
      <c r="D2" s="29"/>
      <c r="E2" s="36" t="s">
        <v>79</v>
      </c>
      <c r="F2" s="36"/>
      <c r="G2" s="36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</row>
    <row r="3" spans="1:61" s="13" customFormat="1" ht="33" customHeight="1" x14ac:dyDescent="0.3">
      <c r="A3" s="15" t="s">
        <v>1</v>
      </c>
      <c r="B3" s="15" t="s">
        <v>2</v>
      </c>
      <c r="C3" s="20" t="s">
        <v>60</v>
      </c>
      <c r="D3" s="15"/>
      <c r="E3" s="15" t="s">
        <v>1</v>
      </c>
      <c r="F3" s="15" t="s">
        <v>2</v>
      </c>
      <c r="G3" s="20" t="s">
        <v>60</v>
      </c>
      <c r="I3" s="30"/>
      <c r="J3" s="26"/>
      <c r="K3" s="26"/>
      <c r="L3" s="30"/>
      <c r="M3" s="26"/>
      <c r="N3" s="26"/>
      <c r="O3" s="30"/>
      <c r="P3" s="26"/>
      <c r="Q3" s="26"/>
      <c r="R3" s="30"/>
      <c r="S3" s="26"/>
      <c r="T3" s="26"/>
      <c r="U3" s="30"/>
      <c r="V3" s="26"/>
      <c r="W3" s="26"/>
      <c r="X3" s="30"/>
      <c r="Y3" s="26"/>
      <c r="Z3" s="26"/>
      <c r="AA3" s="26"/>
      <c r="AB3" s="26"/>
      <c r="AC3" s="26"/>
      <c r="AD3" s="30"/>
      <c r="AE3" s="26"/>
      <c r="AF3" s="26"/>
      <c r="AG3" s="30"/>
      <c r="AH3" s="26"/>
      <c r="AI3" s="26"/>
      <c r="AJ3" s="30"/>
      <c r="AK3" s="26"/>
      <c r="AL3" s="26"/>
      <c r="AM3" s="30"/>
      <c r="AN3" s="26"/>
      <c r="AO3" s="26"/>
      <c r="AP3" s="30"/>
      <c r="AQ3" s="26"/>
      <c r="AR3" s="26"/>
      <c r="AS3" s="30"/>
      <c r="AT3" s="26"/>
      <c r="AU3" s="26"/>
      <c r="AV3" s="30"/>
      <c r="AW3" s="26"/>
      <c r="AX3" s="26"/>
      <c r="AY3" s="30"/>
      <c r="AZ3" s="26"/>
      <c r="BA3" s="26"/>
      <c r="BB3" s="30"/>
      <c r="BC3" s="26"/>
      <c r="BD3" s="26"/>
      <c r="BE3" s="30"/>
      <c r="BF3" s="26"/>
      <c r="BG3" s="26"/>
      <c r="BH3" s="30"/>
      <c r="BI3" s="26"/>
    </row>
    <row r="4" spans="1:61" ht="24.95" customHeight="1" x14ac:dyDescent="0.3">
      <c r="A4" s="16" t="s">
        <v>77</v>
      </c>
      <c r="B4" s="16"/>
      <c r="C4" s="16"/>
      <c r="D4" s="16"/>
      <c r="E4" s="16" t="s">
        <v>78</v>
      </c>
      <c r="F4" s="16"/>
      <c r="G4" s="16"/>
      <c r="I4" s="30"/>
      <c r="J4" s="30"/>
      <c r="K4" s="26"/>
      <c r="L4" s="26"/>
      <c r="M4" s="30"/>
      <c r="N4" s="26"/>
      <c r="O4" s="26"/>
    </row>
    <row r="5" spans="1:61" ht="24.95" customHeight="1" x14ac:dyDescent="0.4">
      <c r="A5" s="16"/>
      <c r="B5" s="16" t="s">
        <v>3</v>
      </c>
      <c r="C5" s="19">
        <v>34.387799999999999</v>
      </c>
      <c r="D5" s="16"/>
      <c r="E5" s="16"/>
      <c r="F5" s="16" t="s">
        <v>3</v>
      </c>
      <c r="G5" s="19">
        <v>34.186199999999999</v>
      </c>
      <c r="I5" s="33"/>
      <c r="J5" s="30"/>
      <c r="K5" s="26"/>
      <c r="L5" s="26"/>
      <c r="M5" s="33"/>
      <c r="N5" s="26"/>
      <c r="O5" s="26"/>
    </row>
    <row r="6" spans="1:61" ht="24.95" customHeight="1" x14ac:dyDescent="0.4">
      <c r="A6" s="16"/>
      <c r="B6" s="16" t="s">
        <v>4</v>
      </c>
      <c r="C6" s="19">
        <v>1.1597999999999999</v>
      </c>
      <c r="D6" s="16"/>
      <c r="E6" s="16"/>
      <c r="F6" s="16" t="s">
        <v>4</v>
      </c>
      <c r="G6" s="19">
        <v>1.2045999999999999</v>
      </c>
      <c r="I6" s="33"/>
      <c r="J6" s="33"/>
      <c r="K6" s="26"/>
      <c r="L6" s="26"/>
      <c r="M6" s="33"/>
      <c r="N6" s="26"/>
      <c r="O6" s="26"/>
    </row>
    <row r="7" spans="1:61" ht="24.95" customHeight="1" x14ac:dyDescent="0.4">
      <c r="A7" s="16"/>
      <c r="B7" s="16" t="s">
        <v>5</v>
      </c>
      <c r="C7" s="19">
        <v>4.2622999999999998</v>
      </c>
      <c r="D7" s="16"/>
      <c r="E7" s="16"/>
      <c r="F7" s="16" t="s">
        <v>5</v>
      </c>
      <c r="G7" s="19">
        <v>4.2935999999999996</v>
      </c>
      <c r="I7" s="33"/>
      <c r="J7" s="33"/>
      <c r="K7" s="26"/>
      <c r="L7" s="26"/>
      <c r="M7" s="33"/>
      <c r="N7" s="26"/>
      <c r="O7" s="26"/>
    </row>
    <row r="8" spans="1:61" ht="24.95" customHeight="1" x14ac:dyDescent="0.4">
      <c r="A8" s="16"/>
      <c r="B8" s="16" t="s">
        <v>6</v>
      </c>
      <c r="C8" s="19">
        <v>25.4861</v>
      </c>
      <c r="D8" s="16"/>
      <c r="E8" s="16"/>
      <c r="F8" s="16" t="s">
        <v>6</v>
      </c>
      <c r="G8" s="19">
        <v>25.718599999999999</v>
      </c>
      <c r="I8" s="33"/>
      <c r="J8" s="33"/>
      <c r="K8" s="26"/>
      <c r="L8" s="26"/>
      <c r="M8" s="33"/>
      <c r="N8" s="26"/>
      <c r="O8" s="26"/>
    </row>
    <row r="9" spans="1:61" ht="24.95" customHeight="1" x14ac:dyDescent="0.4">
      <c r="A9" s="16"/>
      <c r="B9" s="16" t="s">
        <v>7</v>
      </c>
      <c r="C9" s="19">
        <v>11.55</v>
      </c>
      <c r="D9" s="16"/>
      <c r="E9" s="16"/>
      <c r="F9" s="16" t="s">
        <v>7</v>
      </c>
      <c r="G9" s="19">
        <v>11.07</v>
      </c>
      <c r="I9" s="33"/>
      <c r="J9" s="33"/>
      <c r="K9" s="26"/>
      <c r="L9" s="26"/>
      <c r="M9" s="33"/>
      <c r="N9" s="26"/>
      <c r="O9" s="26"/>
    </row>
    <row r="10" spans="1:61" ht="24.95" customHeight="1" x14ac:dyDescent="0.4">
      <c r="A10" s="16"/>
      <c r="B10" s="16" t="s">
        <v>8</v>
      </c>
      <c r="C10" s="19">
        <v>0.24</v>
      </c>
      <c r="D10" s="16"/>
      <c r="E10" s="16"/>
      <c r="F10" s="16" t="s">
        <v>8</v>
      </c>
      <c r="G10" s="19">
        <v>0.22</v>
      </c>
      <c r="I10" s="33"/>
      <c r="J10" s="33"/>
      <c r="K10" s="26"/>
      <c r="L10" s="26"/>
      <c r="M10" s="33"/>
      <c r="N10" s="26"/>
      <c r="O10" s="26"/>
    </row>
    <row r="11" spans="1:61" ht="24.95" customHeight="1" x14ac:dyDescent="0.4">
      <c r="A11" s="16"/>
      <c r="B11" s="16" t="s">
        <v>9</v>
      </c>
      <c r="C11" s="19">
        <v>0.19</v>
      </c>
      <c r="D11" s="16"/>
      <c r="E11" s="16"/>
      <c r="F11" s="16" t="s">
        <v>9</v>
      </c>
      <c r="G11" s="19">
        <v>0.14000000000000001</v>
      </c>
      <c r="I11" s="33"/>
      <c r="J11" s="33"/>
      <c r="K11" s="26"/>
      <c r="L11" s="26"/>
      <c r="M11" s="33"/>
      <c r="N11" s="26"/>
      <c r="O11" s="26"/>
    </row>
    <row r="12" spans="1:61" ht="24.95" customHeight="1" x14ac:dyDescent="0.4">
      <c r="A12" s="16"/>
      <c r="B12" s="16" t="s">
        <v>10</v>
      </c>
      <c r="C12" s="19">
        <v>2.2599999999999998</v>
      </c>
      <c r="D12" s="16"/>
      <c r="E12" s="16"/>
      <c r="F12" s="16" t="s">
        <v>10</v>
      </c>
      <c r="G12" s="19">
        <v>2.62</v>
      </c>
      <c r="I12" s="33"/>
      <c r="J12" s="33"/>
      <c r="K12" s="26"/>
      <c r="L12" s="26"/>
      <c r="M12" s="33"/>
      <c r="N12" s="26"/>
      <c r="O12" s="26"/>
    </row>
    <row r="13" spans="1:61" ht="24.95" customHeight="1" x14ac:dyDescent="0.4">
      <c r="A13" s="16"/>
      <c r="B13" s="16" t="s">
        <v>11</v>
      </c>
      <c r="C13" s="19">
        <v>0.91</v>
      </c>
      <c r="D13" s="16"/>
      <c r="E13" s="16"/>
      <c r="F13" s="16" t="s">
        <v>11</v>
      </c>
      <c r="G13" s="19">
        <v>0.83</v>
      </c>
      <c r="I13" s="33"/>
      <c r="J13" s="33"/>
      <c r="K13" s="26"/>
      <c r="L13" s="26"/>
      <c r="M13" s="33"/>
      <c r="N13" s="26"/>
      <c r="O13" s="26"/>
    </row>
    <row r="14" spans="1:61" ht="24.95" customHeight="1" x14ac:dyDescent="0.4">
      <c r="A14" s="31" t="s">
        <v>12</v>
      </c>
      <c r="B14" s="37" t="s">
        <v>13</v>
      </c>
      <c r="C14" s="37"/>
      <c r="D14" s="16"/>
      <c r="E14" s="31" t="s">
        <v>12</v>
      </c>
      <c r="F14" s="37" t="s">
        <v>13</v>
      </c>
      <c r="G14" s="37"/>
      <c r="I14" s="33"/>
      <c r="J14" s="33"/>
      <c r="K14" s="26"/>
      <c r="L14" s="26"/>
      <c r="M14" s="33"/>
      <c r="N14" s="26"/>
      <c r="O14" s="26"/>
    </row>
    <row r="15" spans="1:61" ht="21.95" customHeight="1" x14ac:dyDescent="0.4">
      <c r="I15" s="33"/>
      <c r="J15" s="26"/>
      <c r="K15" s="26"/>
      <c r="L15" s="27"/>
      <c r="M15" s="33"/>
      <c r="N15" s="26"/>
      <c r="O15" s="26"/>
    </row>
    <row r="16" spans="1:61" ht="21.95" customHeight="1" x14ac:dyDescent="0.4">
      <c r="A16" s="17"/>
      <c r="B16" s="17"/>
      <c r="C16" s="17"/>
      <c r="D16" s="17"/>
      <c r="E16" s="17"/>
      <c r="F16" s="17"/>
      <c r="I16" s="33"/>
      <c r="J16" s="26"/>
      <c r="K16" s="26"/>
      <c r="L16" s="27"/>
      <c r="M16" s="26"/>
      <c r="N16" s="27"/>
      <c r="O16" s="26"/>
    </row>
    <row r="17" spans="1:15" ht="21.95" customHeight="1" x14ac:dyDescent="0.4">
      <c r="A17" s="22"/>
      <c r="B17" s="22"/>
      <c r="C17" s="17"/>
      <c r="D17" s="17"/>
      <c r="E17" s="22"/>
      <c r="F17" s="22"/>
      <c r="I17" s="33"/>
      <c r="J17" s="26"/>
      <c r="K17" s="26"/>
      <c r="L17" s="27"/>
      <c r="M17" s="26"/>
      <c r="N17" s="27"/>
      <c r="O17" s="26"/>
    </row>
    <row r="18" spans="1:15" ht="21.95" customHeight="1" x14ac:dyDescent="0.4">
      <c r="I18" s="33"/>
      <c r="J18" s="26"/>
      <c r="K18" s="26"/>
      <c r="L18" s="27"/>
      <c r="M18" s="26"/>
      <c r="N18" s="27"/>
      <c r="O18" s="26"/>
    </row>
    <row r="19" spans="1:15" ht="21.95" customHeight="1" x14ac:dyDescent="0.4">
      <c r="I19" s="33"/>
      <c r="J19" s="26"/>
      <c r="K19" s="26"/>
      <c r="L19" s="27"/>
      <c r="M19" s="26"/>
      <c r="N19" s="27"/>
      <c r="O19" s="26"/>
    </row>
    <row r="20" spans="1:15" ht="21.95" customHeight="1" x14ac:dyDescent="0.4">
      <c r="I20" s="33"/>
      <c r="J20" s="26"/>
      <c r="K20" s="26"/>
      <c r="L20" s="27"/>
      <c r="M20" s="26"/>
      <c r="N20" s="27"/>
      <c r="O20" s="26"/>
    </row>
    <row r="21" spans="1:15" ht="21.95" customHeight="1" x14ac:dyDescent="0.4">
      <c r="J21" s="26"/>
      <c r="K21" s="27"/>
      <c r="L21" s="27"/>
      <c r="M21" s="26"/>
    </row>
    <row r="22" spans="1:15" ht="21.95" customHeight="1" x14ac:dyDescent="0.4">
      <c r="K22" s="27"/>
      <c r="L22" s="26"/>
    </row>
  </sheetData>
  <mergeCells count="5">
    <mergeCell ref="A1:G1"/>
    <mergeCell ref="A2:C2"/>
    <mergeCell ref="E2:G2"/>
    <mergeCell ref="B14:C14"/>
    <mergeCell ref="F14:G14"/>
  </mergeCells>
  <phoneticPr fontId="22" type="noConversion"/>
  <pageMargins left="0.69930555555555596" right="0.69930555555555596" top="0.47152777777777799" bottom="0.43263888888888902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W20"/>
  <sheetViews>
    <sheetView zoomScale="93" zoomScaleNormal="93" workbookViewId="0">
      <selection activeCell="G19" sqref="B1:H19"/>
    </sheetView>
  </sheetViews>
  <sheetFormatPr defaultColWidth="9" defaultRowHeight="20.100000000000001" customHeight="1" x14ac:dyDescent="0.3"/>
  <cols>
    <col min="1" max="1" width="2.59765625" style="11" customWidth="1"/>
    <col min="2" max="2" width="21.73046875" style="11" customWidth="1"/>
    <col min="3" max="3" width="11" style="11" customWidth="1"/>
    <col min="4" max="4" width="13.265625" style="11" customWidth="1"/>
    <col min="5" max="5" width="1.265625" style="11" hidden="1" customWidth="1"/>
    <col min="6" max="6" width="21.59765625" style="11" customWidth="1"/>
    <col min="7" max="7" width="9.86328125" style="11" customWidth="1"/>
    <col min="8" max="8" width="14.73046875" style="11" customWidth="1"/>
    <col min="9" max="16384" width="9" style="11"/>
  </cols>
  <sheetData>
    <row r="1" spans="2:23" s="9" customFormat="1" ht="43.5" customHeight="1" x14ac:dyDescent="0.3">
      <c r="B1" s="34" t="s">
        <v>23</v>
      </c>
      <c r="C1" s="34"/>
      <c r="D1" s="34"/>
      <c r="E1" s="34"/>
      <c r="F1" s="34"/>
      <c r="G1" s="34"/>
      <c r="H1" s="34"/>
    </row>
    <row r="2" spans="2:23" s="9" customFormat="1" ht="33" customHeight="1" x14ac:dyDescent="0.3">
      <c r="B2" s="39" t="s">
        <v>73</v>
      </c>
      <c r="C2" s="40"/>
      <c r="D2" s="41"/>
      <c r="E2" s="38"/>
      <c r="F2" s="42" t="s">
        <v>74</v>
      </c>
      <c r="G2" s="43"/>
      <c r="H2" s="44"/>
      <c r="M2" s="26"/>
      <c r="N2" s="26"/>
    </row>
    <row r="3" spans="2:23" ht="21.95" customHeight="1" x14ac:dyDescent="0.3">
      <c r="B3" s="12" t="s">
        <v>1</v>
      </c>
      <c r="C3" s="12" t="s">
        <v>2</v>
      </c>
      <c r="D3" s="12" t="s">
        <v>60</v>
      </c>
      <c r="E3" s="38"/>
      <c r="F3" s="12" t="s">
        <v>1</v>
      </c>
      <c r="G3" s="12" t="s">
        <v>2</v>
      </c>
      <c r="H3" s="12" t="s">
        <v>60</v>
      </c>
      <c r="M3" s="26"/>
      <c r="N3" s="26"/>
    </row>
    <row r="4" spans="2:23" ht="21.95" customHeight="1" x14ac:dyDescent="0.4">
      <c r="B4" s="16" t="s">
        <v>75</v>
      </c>
      <c r="C4" s="12"/>
      <c r="D4" s="12"/>
      <c r="E4" s="38"/>
      <c r="F4" s="16" t="s">
        <v>76</v>
      </c>
      <c r="G4" s="12"/>
      <c r="H4" s="12"/>
      <c r="I4" s="27"/>
      <c r="J4" s="27"/>
      <c r="K4" s="27"/>
      <c r="L4" s="30"/>
      <c r="M4" s="26"/>
      <c r="N4" s="26"/>
      <c r="O4" s="26"/>
      <c r="P4" s="27"/>
      <c r="Q4" s="26"/>
      <c r="R4" s="27"/>
      <c r="S4" s="27"/>
      <c r="T4" s="27"/>
      <c r="U4" s="27"/>
      <c r="V4" s="27"/>
    </row>
    <row r="5" spans="2:23" ht="21" customHeight="1" x14ac:dyDescent="0.4">
      <c r="B5" s="12"/>
      <c r="C5" s="12" t="s">
        <v>6</v>
      </c>
      <c r="D5" s="21">
        <v>15.0479</v>
      </c>
      <c r="E5" s="38"/>
      <c r="F5" s="12"/>
      <c r="G5" s="12" t="s">
        <v>6</v>
      </c>
      <c r="H5" s="21">
        <v>16.7056</v>
      </c>
      <c r="I5" s="26"/>
      <c r="J5" s="26"/>
      <c r="K5" s="26"/>
      <c r="L5" s="33"/>
      <c r="M5" s="26"/>
      <c r="N5" s="26"/>
      <c r="O5" s="26"/>
      <c r="P5" s="26"/>
      <c r="Q5" s="26"/>
      <c r="R5" s="26"/>
      <c r="S5" s="26"/>
      <c r="T5" s="26"/>
      <c r="U5" s="26"/>
      <c r="V5" s="26"/>
    </row>
    <row r="6" spans="2:23" ht="21" customHeight="1" x14ac:dyDescent="0.4">
      <c r="B6" s="12"/>
      <c r="C6" s="12" t="s">
        <v>18</v>
      </c>
      <c r="D6" s="21">
        <v>0.99</v>
      </c>
      <c r="E6" s="38"/>
      <c r="F6" s="12"/>
      <c r="G6" s="12" t="s">
        <v>18</v>
      </c>
      <c r="H6" s="21">
        <v>5.39</v>
      </c>
      <c r="L6" s="30"/>
      <c r="M6" s="26"/>
      <c r="N6" s="26"/>
      <c r="O6" s="26"/>
      <c r="P6" s="33"/>
      <c r="Q6" s="26"/>
      <c r="T6" s="33"/>
      <c r="U6" s="30"/>
      <c r="V6" s="26"/>
      <c r="W6" s="26"/>
    </row>
    <row r="7" spans="2:23" ht="21" customHeight="1" x14ac:dyDescent="0.4">
      <c r="B7" s="12"/>
      <c r="C7" s="12" t="s">
        <v>7</v>
      </c>
      <c r="D7" s="21">
        <v>5.03</v>
      </c>
      <c r="E7" s="38"/>
      <c r="F7" s="12"/>
      <c r="G7" s="12" t="s">
        <v>7</v>
      </c>
      <c r="H7" s="21">
        <v>1.91</v>
      </c>
      <c r="L7" s="30"/>
      <c r="M7" s="26"/>
      <c r="N7" s="26"/>
      <c r="O7" s="26"/>
      <c r="P7" s="33"/>
      <c r="Q7" s="26"/>
      <c r="T7" s="33"/>
      <c r="U7" s="33"/>
      <c r="V7" s="26"/>
      <c r="W7" s="26"/>
    </row>
    <row r="8" spans="2:23" ht="21" customHeight="1" x14ac:dyDescent="0.4">
      <c r="B8" s="12"/>
      <c r="C8" s="12" t="s">
        <v>8</v>
      </c>
      <c r="D8" s="21">
        <v>1.54</v>
      </c>
      <c r="E8" s="38"/>
      <c r="F8" s="12"/>
      <c r="G8" s="12" t="s">
        <v>8</v>
      </c>
      <c r="H8" s="21">
        <v>0.74</v>
      </c>
      <c r="L8" s="33"/>
      <c r="M8" s="26"/>
      <c r="N8" s="26"/>
      <c r="O8" s="26"/>
      <c r="P8" s="33"/>
      <c r="Q8" s="26"/>
      <c r="T8" s="33"/>
      <c r="U8" s="33"/>
      <c r="V8" s="26"/>
      <c r="W8" s="26"/>
    </row>
    <row r="9" spans="2:23" ht="21" customHeight="1" x14ac:dyDescent="0.4">
      <c r="B9" s="12"/>
      <c r="C9" s="12" t="s">
        <v>9</v>
      </c>
      <c r="D9" s="21">
        <v>0.96</v>
      </c>
      <c r="E9" s="38"/>
      <c r="F9" s="12"/>
      <c r="G9" s="12" t="s">
        <v>9</v>
      </c>
      <c r="H9" s="21">
        <v>0.69</v>
      </c>
      <c r="L9" s="33"/>
      <c r="M9" s="26"/>
      <c r="N9" s="26"/>
      <c r="O9" s="26"/>
      <c r="P9" s="33"/>
      <c r="Q9" s="26"/>
      <c r="T9" s="33"/>
      <c r="U9" s="33"/>
      <c r="V9" s="26"/>
      <c r="W9" s="26"/>
    </row>
    <row r="10" spans="2:23" ht="21" customHeight="1" x14ac:dyDescent="0.4">
      <c r="B10" s="12"/>
      <c r="C10" s="12" t="s">
        <v>11</v>
      </c>
      <c r="D10" s="21">
        <v>19.93</v>
      </c>
      <c r="E10" s="38"/>
      <c r="F10" s="12"/>
      <c r="G10" s="12" t="s">
        <v>11</v>
      </c>
      <c r="H10" s="21">
        <v>35.54</v>
      </c>
      <c r="L10" s="33"/>
      <c r="M10" s="26"/>
      <c r="N10" s="26"/>
      <c r="O10" s="26"/>
      <c r="P10" s="33"/>
      <c r="Q10" s="26"/>
      <c r="T10" s="33"/>
      <c r="U10" s="33"/>
      <c r="V10" s="26"/>
      <c r="W10" s="26"/>
    </row>
    <row r="11" spans="2:23" ht="21" customHeight="1" x14ac:dyDescent="0.4">
      <c r="B11" s="12"/>
      <c r="C11" s="12" t="s">
        <v>19</v>
      </c>
      <c r="D11" s="21">
        <v>14.23</v>
      </c>
      <c r="E11" s="38"/>
      <c r="F11" s="12"/>
      <c r="G11" s="12" t="s">
        <v>19</v>
      </c>
      <c r="H11" s="21">
        <v>17.62</v>
      </c>
      <c r="L11" s="33"/>
      <c r="M11" s="26"/>
      <c r="N11" s="26"/>
      <c r="O11" s="26"/>
      <c r="P11" s="33"/>
      <c r="Q11" s="26"/>
      <c r="T11" s="33"/>
      <c r="U11" s="33"/>
      <c r="V11" s="26"/>
      <c r="W11" s="26"/>
    </row>
    <row r="12" spans="2:23" ht="21" customHeight="1" x14ac:dyDescent="0.4">
      <c r="B12" s="12"/>
      <c r="C12" s="12" t="s">
        <v>16</v>
      </c>
      <c r="D12" s="21">
        <v>0.24</v>
      </c>
      <c r="E12" s="38"/>
      <c r="F12" s="12"/>
      <c r="G12" s="12" t="s">
        <v>16</v>
      </c>
      <c r="H12" s="21">
        <v>0.57999999999999996</v>
      </c>
      <c r="L12" s="33"/>
      <c r="M12" s="26"/>
      <c r="N12" s="26"/>
      <c r="O12" s="26"/>
      <c r="P12" s="33"/>
      <c r="Q12" s="26"/>
      <c r="T12" s="33"/>
      <c r="U12" s="33"/>
      <c r="V12" s="26"/>
      <c r="W12" s="26"/>
    </row>
    <row r="13" spans="2:23" ht="21" customHeight="1" x14ac:dyDescent="0.4">
      <c r="B13" s="12"/>
      <c r="C13" s="12" t="s">
        <v>10</v>
      </c>
      <c r="D13" s="21">
        <v>0.71</v>
      </c>
      <c r="E13" s="38"/>
      <c r="F13" s="12"/>
      <c r="G13" s="12" t="s">
        <v>10</v>
      </c>
      <c r="H13" s="21">
        <v>0.3</v>
      </c>
      <c r="L13" s="33"/>
      <c r="M13" s="26"/>
      <c r="N13" s="26"/>
      <c r="O13" s="26"/>
      <c r="P13" s="33"/>
      <c r="Q13" s="26"/>
      <c r="T13" s="33"/>
      <c r="U13" s="33"/>
      <c r="V13" s="26"/>
      <c r="W13" s="26"/>
    </row>
    <row r="14" spans="2:23" ht="21" customHeight="1" x14ac:dyDescent="0.4">
      <c r="B14" s="12"/>
      <c r="C14" s="12" t="s">
        <v>17</v>
      </c>
      <c r="D14" s="21">
        <v>216.94</v>
      </c>
      <c r="E14" s="38"/>
      <c r="F14" s="12"/>
      <c r="G14" s="12" t="s">
        <v>17</v>
      </c>
      <c r="H14" s="21">
        <v>124.4</v>
      </c>
      <c r="L14" s="33"/>
      <c r="M14" s="26"/>
      <c r="N14" s="26"/>
      <c r="O14" s="26"/>
      <c r="P14" s="33"/>
      <c r="Q14" s="26"/>
      <c r="T14" s="33"/>
      <c r="U14" s="33"/>
      <c r="V14" s="26"/>
      <c r="W14" s="26"/>
    </row>
    <row r="15" spans="2:23" ht="21" customHeight="1" x14ac:dyDescent="0.4">
      <c r="B15" s="12"/>
      <c r="C15" s="12" t="s">
        <v>20</v>
      </c>
      <c r="D15" s="25">
        <v>0.02</v>
      </c>
      <c r="E15" s="38"/>
      <c r="F15" s="12"/>
      <c r="G15" s="12" t="s">
        <v>20</v>
      </c>
      <c r="H15" s="25">
        <v>3.2000000000000001E-2</v>
      </c>
      <c r="L15" s="33"/>
      <c r="M15" s="26"/>
      <c r="N15" s="26"/>
      <c r="O15" s="26"/>
      <c r="P15" s="33"/>
      <c r="Q15" s="26"/>
      <c r="T15" s="33"/>
      <c r="U15" s="33"/>
      <c r="V15" s="26"/>
      <c r="W15" s="26"/>
    </row>
    <row r="16" spans="2:23" ht="21" customHeight="1" x14ac:dyDescent="0.4">
      <c r="B16" s="12"/>
      <c r="C16" s="12" t="s">
        <v>21</v>
      </c>
      <c r="D16" s="25">
        <v>6.0000000000000001E-3</v>
      </c>
      <c r="E16" s="38"/>
      <c r="F16" s="12"/>
      <c r="G16" s="12" t="s">
        <v>15</v>
      </c>
      <c r="H16" s="21">
        <v>2.15</v>
      </c>
      <c r="L16" s="33"/>
      <c r="M16" s="26"/>
      <c r="N16" s="26"/>
      <c r="O16" s="26"/>
      <c r="P16" s="33"/>
      <c r="Q16" s="26"/>
      <c r="T16" s="33"/>
      <c r="U16" s="33"/>
      <c r="V16" s="26"/>
      <c r="W16" s="26"/>
    </row>
    <row r="17" spans="2:23" ht="21" customHeight="1" x14ac:dyDescent="0.4">
      <c r="B17" s="12"/>
      <c r="C17" s="12" t="s">
        <v>22</v>
      </c>
      <c r="D17" s="25">
        <v>0</v>
      </c>
      <c r="E17" s="38"/>
      <c r="F17" s="12"/>
      <c r="G17" s="12"/>
      <c r="H17" s="12"/>
      <c r="L17" s="33"/>
      <c r="M17" s="26"/>
      <c r="N17" s="26"/>
      <c r="P17" s="33"/>
      <c r="Q17" s="26"/>
      <c r="T17" s="33"/>
      <c r="U17" s="33"/>
      <c r="V17" s="26"/>
      <c r="W17" s="26"/>
    </row>
    <row r="18" spans="2:23" ht="21" customHeight="1" x14ac:dyDescent="0.4">
      <c r="B18" s="12"/>
      <c r="C18" s="12" t="s">
        <v>15</v>
      </c>
      <c r="D18" s="21">
        <v>1.67</v>
      </c>
      <c r="E18" s="38"/>
      <c r="F18" s="12"/>
      <c r="G18" s="12"/>
      <c r="H18" s="12"/>
      <c r="L18" s="33"/>
      <c r="M18" s="26"/>
      <c r="N18" s="26"/>
      <c r="P18" s="33"/>
      <c r="Q18" s="26"/>
      <c r="T18" s="33"/>
      <c r="U18" s="33"/>
      <c r="V18" s="26"/>
      <c r="W18" s="26"/>
    </row>
    <row r="19" spans="2:23" ht="21.95" customHeight="1" x14ac:dyDescent="0.4">
      <c r="B19" s="32" t="s">
        <v>12</v>
      </c>
      <c r="C19" s="37" t="s">
        <v>13</v>
      </c>
      <c r="D19" s="37"/>
      <c r="E19" s="38"/>
      <c r="F19" s="32" t="s">
        <v>12</v>
      </c>
      <c r="G19" s="37" t="s">
        <v>13</v>
      </c>
      <c r="H19" s="37"/>
      <c r="L19" s="33"/>
      <c r="M19" s="26"/>
      <c r="N19" s="26"/>
      <c r="P19" s="33"/>
      <c r="Q19" s="26"/>
      <c r="T19" s="33"/>
      <c r="U19" s="33"/>
      <c r="V19" s="26"/>
      <c r="W19" s="26"/>
    </row>
    <row r="20" spans="2:23" ht="20.100000000000001" customHeight="1" x14ac:dyDescent="0.4">
      <c r="T20" s="33"/>
      <c r="U20" s="33"/>
      <c r="V20" s="26"/>
      <c r="W20" s="26"/>
    </row>
  </sheetData>
  <mergeCells count="6">
    <mergeCell ref="E2:E19"/>
    <mergeCell ref="G19:H19"/>
    <mergeCell ref="B1:H1"/>
    <mergeCell ref="B2:D2"/>
    <mergeCell ref="F2:H2"/>
    <mergeCell ref="C19:D19"/>
  </mergeCells>
  <phoneticPr fontId="22" type="noConversion"/>
  <pageMargins left="0.211805555555556" right="0.23263888888888901" top="0.235416666666667" bottom="0.62916666666666698" header="0.118055555555556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9:I13"/>
  <sheetViews>
    <sheetView workbookViewId="0">
      <selection activeCell="F12" sqref="F12"/>
    </sheetView>
  </sheetViews>
  <sheetFormatPr defaultColWidth="10.59765625" defaultRowHeight="21.95" customHeight="1" x14ac:dyDescent="0.3"/>
  <cols>
    <col min="1" max="2" width="10.59765625" style="3"/>
    <col min="3" max="3" width="20.59765625" style="3" customWidth="1"/>
    <col min="4" max="15" width="10.59765625" style="3"/>
    <col min="16" max="16" width="15.59765625" style="3" customWidth="1"/>
    <col min="17" max="16384" width="10.59765625" style="3"/>
  </cols>
  <sheetData>
    <row r="9" spans="3:9" ht="21.95" customHeight="1" x14ac:dyDescent="0.3">
      <c r="C9" s="8"/>
      <c r="D9" s="8"/>
      <c r="E9" s="8"/>
      <c r="F9" s="8"/>
      <c r="G9" s="8"/>
      <c r="H9" s="8"/>
      <c r="I9" s="8"/>
    </row>
    <row r="10" spans="3:9" ht="21.95" customHeight="1" x14ac:dyDescent="0.3">
      <c r="C10" s="8"/>
      <c r="D10" s="8"/>
      <c r="E10" s="8"/>
      <c r="F10" s="8"/>
      <c r="G10" s="8"/>
      <c r="H10" s="8"/>
      <c r="I10" s="8"/>
    </row>
    <row r="11" spans="3:9" ht="21.95" customHeight="1" x14ac:dyDescent="0.3">
      <c r="C11" s="8"/>
      <c r="D11" s="8"/>
      <c r="E11" s="8"/>
      <c r="F11" s="8"/>
      <c r="G11" s="8"/>
      <c r="H11" s="8"/>
      <c r="I11" s="8"/>
    </row>
    <row r="12" spans="3:9" ht="21.95" customHeight="1" x14ac:dyDescent="0.3">
      <c r="C12" s="8"/>
      <c r="D12" s="8"/>
      <c r="E12" s="8"/>
      <c r="F12" s="8"/>
      <c r="G12" s="8"/>
      <c r="H12" s="8"/>
      <c r="I12" s="8"/>
    </row>
    <row r="13" spans="3:9" ht="21.95" customHeight="1" x14ac:dyDescent="0.3">
      <c r="C13" s="8"/>
      <c r="D13" s="8"/>
      <c r="E13" s="8"/>
      <c r="F13" s="8"/>
      <c r="G13" s="8"/>
      <c r="H13" s="8"/>
      <c r="I13" s="8"/>
    </row>
  </sheetData>
  <phoneticPr fontId="22" type="noConversion"/>
  <pageMargins left="0.75" right="0.75" top="1" bottom="1" header="0.51180555555555596" footer="0.51180555555555596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8"/>
  <sheetViews>
    <sheetView workbookViewId="0">
      <pane ySplit="2" topLeftCell="A3" activePane="bottomLeft" state="frozen"/>
      <selection pane="bottomLeft" sqref="A1:M1"/>
    </sheetView>
  </sheetViews>
  <sheetFormatPr defaultColWidth="10.59765625" defaultRowHeight="20.100000000000001" customHeight="1" x14ac:dyDescent="0.3"/>
  <cols>
    <col min="1" max="1" width="20.59765625" style="6" customWidth="1"/>
    <col min="2" max="9" width="8.59765625" style="6" customWidth="1"/>
    <col min="10" max="10" width="10.59765625" style="6" customWidth="1"/>
    <col min="11" max="11" width="8.59765625" style="6" customWidth="1"/>
    <col min="12" max="12" width="8.59765625" style="7" customWidth="1"/>
    <col min="13" max="13" width="8.59765625" style="6" customWidth="1"/>
    <col min="14" max="14" width="10.59765625" style="5" customWidth="1"/>
    <col min="15" max="16384" width="10.59765625" style="5"/>
  </cols>
  <sheetData>
    <row r="1" spans="1:13" ht="30" customHeight="1" x14ac:dyDescent="0.3">
      <c r="A1" s="45" t="s">
        <v>24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  <c r="M1" s="45"/>
    </row>
    <row r="2" spans="1:13" ht="30" customHeight="1" x14ac:dyDescent="0.3">
      <c r="B2" s="6" t="s">
        <v>25</v>
      </c>
      <c r="C2" s="6" t="s">
        <v>26</v>
      </c>
      <c r="D2" s="6" t="s">
        <v>27</v>
      </c>
      <c r="E2" s="6" t="s">
        <v>28</v>
      </c>
      <c r="F2" s="6" t="s">
        <v>29</v>
      </c>
      <c r="G2" s="6" t="s">
        <v>30</v>
      </c>
      <c r="H2" s="6" t="s">
        <v>31</v>
      </c>
      <c r="I2" s="6" t="s">
        <v>32</v>
      </c>
      <c r="J2" s="6" t="s">
        <v>33</v>
      </c>
      <c r="K2" s="6" t="s">
        <v>34</v>
      </c>
      <c r="L2" s="7" t="s">
        <v>35</v>
      </c>
      <c r="M2" s="6" t="s">
        <v>36</v>
      </c>
    </row>
    <row r="3" spans="1:13" ht="20.100000000000001" customHeight="1" x14ac:dyDescent="0.3">
      <c r="A3" s="6" t="s">
        <v>37</v>
      </c>
      <c r="B3" s="6">
        <v>8.0649999999999995</v>
      </c>
      <c r="C3" s="6">
        <v>1.37</v>
      </c>
      <c r="D3" s="6">
        <v>9.6579999999999995</v>
      </c>
      <c r="E3" s="6">
        <v>0.65600000000000003</v>
      </c>
      <c r="F3" s="6">
        <v>4.4619999999999997</v>
      </c>
      <c r="G3" s="6">
        <v>1.329</v>
      </c>
      <c r="H3" s="6">
        <v>0.88700000000000001</v>
      </c>
      <c r="I3" s="6">
        <v>28.603000000000002</v>
      </c>
      <c r="J3" s="6">
        <v>300.61799999999999</v>
      </c>
      <c r="K3" s="6">
        <v>0.13300000000000001</v>
      </c>
      <c r="L3" s="7">
        <v>2.669</v>
      </c>
      <c r="M3" s="6">
        <v>0.95899999999999996</v>
      </c>
    </row>
    <row r="4" spans="1:13" ht="20.100000000000001" customHeight="1" x14ac:dyDescent="0.3">
      <c r="A4" s="6" t="s">
        <v>38</v>
      </c>
      <c r="B4" s="6">
        <v>9.2669999999999995</v>
      </c>
      <c r="C4" s="6">
        <v>1.0569999999999999</v>
      </c>
      <c r="D4" s="6">
        <v>10.616</v>
      </c>
      <c r="E4" s="6">
        <v>0.61599999999999999</v>
      </c>
      <c r="F4" s="6">
        <v>5.9550000000000001</v>
      </c>
      <c r="G4" s="6">
        <v>1.226</v>
      </c>
      <c r="H4" s="6">
        <v>1.4039999999999999</v>
      </c>
      <c r="I4" s="6">
        <v>25.734999999999999</v>
      </c>
      <c r="J4" s="6">
        <v>127.94199999999999</v>
      </c>
      <c r="K4" s="6">
        <v>6.7000000000000004E-2</v>
      </c>
      <c r="L4" s="7">
        <v>2.7669999999999999</v>
      </c>
      <c r="M4" s="6">
        <v>0.85299999999999998</v>
      </c>
    </row>
    <row r="5" spans="1:13" ht="20.100000000000001" customHeight="1" x14ac:dyDescent="0.3">
      <c r="A5" s="6" t="s">
        <v>39</v>
      </c>
      <c r="B5" s="6">
        <v>11.278</v>
      </c>
      <c r="C5" s="6">
        <v>0.498</v>
      </c>
      <c r="D5" s="6">
        <v>11.451000000000001</v>
      </c>
      <c r="E5" s="6">
        <v>0.57299999999999995</v>
      </c>
      <c r="F5" s="6">
        <v>5.1449999999999996</v>
      </c>
      <c r="G5" s="6">
        <v>0.83799999999999997</v>
      </c>
      <c r="H5" s="6">
        <v>0.93300000000000005</v>
      </c>
      <c r="I5" s="6">
        <v>28.478999999999999</v>
      </c>
      <c r="J5" s="6">
        <v>117.92700000000001</v>
      </c>
      <c r="K5" s="6">
        <v>6.8000000000000005E-2</v>
      </c>
      <c r="L5" s="7">
        <v>2.6269999999999998</v>
      </c>
      <c r="M5" s="6">
        <v>0.752</v>
      </c>
    </row>
    <row r="6" spans="1:13" ht="20.100000000000001" customHeight="1" x14ac:dyDescent="0.3">
      <c r="A6" s="6" t="s">
        <v>40</v>
      </c>
      <c r="B6" s="6">
        <v>11.535</v>
      </c>
      <c r="C6" s="6">
        <v>0.52100000000000002</v>
      </c>
      <c r="D6" s="6">
        <v>8.5259999999999998</v>
      </c>
      <c r="E6" s="6">
        <v>0.57999999999999996</v>
      </c>
      <c r="F6" s="6">
        <v>4.0960000000000001</v>
      </c>
      <c r="G6" s="6">
        <v>0.80100000000000005</v>
      </c>
      <c r="H6" s="6">
        <v>1.1259999999999999</v>
      </c>
      <c r="I6" s="6">
        <v>34.066000000000003</v>
      </c>
      <c r="J6" s="6">
        <v>90.552999999999997</v>
      </c>
      <c r="K6" s="6">
        <v>5.6000000000000001E-2</v>
      </c>
      <c r="L6" s="7">
        <v>1.7509999999999999</v>
      </c>
      <c r="M6" s="6">
        <v>0.56599999999999995</v>
      </c>
    </row>
    <row r="8" spans="1:13" ht="20.100000000000001" customHeight="1" x14ac:dyDescent="0.3">
      <c r="A8" s="6" t="s">
        <v>41</v>
      </c>
      <c r="B8" s="6">
        <v>11.096</v>
      </c>
      <c r="C8" s="6">
        <v>0.68600000000000005</v>
      </c>
      <c r="D8" s="6">
        <v>6.0510000000000002</v>
      </c>
      <c r="E8" s="6">
        <v>0.53300000000000003</v>
      </c>
      <c r="F8" s="6">
        <v>4.7640000000000002</v>
      </c>
      <c r="G8" s="6">
        <v>0.96799999999999997</v>
      </c>
      <c r="H8" s="6">
        <v>1.1819999999999999</v>
      </c>
      <c r="I8" s="6">
        <v>33.777000000000001</v>
      </c>
      <c r="J8" s="6">
        <v>105.241</v>
      </c>
      <c r="K8" s="6">
        <v>0.156</v>
      </c>
      <c r="L8" s="7">
        <v>2.6749999999999998</v>
      </c>
      <c r="M8" s="6">
        <v>1.242</v>
      </c>
    </row>
    <row r="9" spans="1:13" ht="20.100000000000001" customHeight="1" x14ac:dyDescent="0.3">
      <c r="A9" s="6" t="s">
        <v>42</v>
      </c>
      <c r="B9" s="6">
        <v>10.571999999999999</v>
      </c>
      <c r="C9" s="6">
        <v>1.29</v>
      </c>
      <c r="D9" s="6">
        <v>6.97</v>
      </c>
      <c r="E9" s="6">
        <v>0.629</v>
      </c>
      <c r="F9" s="6">
        <v>5.8979999999999997</v>
      </c>
      <c r="G9" s="6">
        <v>1.012</v>
      </c>
      <c r="H9" s="6">
        <v>1.232</v>
      </c>
      <c r="I9" s="6">
        <v>29.699000000000002</v>
      </c>
      <c r="J9" s="6">
        <v>100.151</v>
      </c>
      <c r="K9" s="6">
        <v>0.08</v>
      </c>
      <c r="L9" s="7">
        <v>2.169</v>
      </c>
      <c r="M9" s="6">
        <v>0.92100000000000004</v>
      </c>
    </row>
    <row r="10" spans="1:13" ht="20.100000000000001" customHeight="1" x14ac:dyDescent="0.3">
      <c r="A10" s="6" t="s">
        <v>43</v>
      </c>
      <c r="B10" s="6">
        <v>10.923</v>
      </c>
      <c r="C10" s="6">
        <v>0.88</v>
      </c>
      <c r="D10" s="6">
        <v>6.0910000000000002</v>
      </c>
      <c r="E10" s="6">
        <v>0.66700000000000004</v>
      </c>
      <c r="F10" s="6">
        <v>5.6929999999999996</v>
      </c>
      <c r="G10" s="6">
        <v>0.95799999999999996</v>
      </c>
      <c r="H10" s="6">
        <v>1.2310000000000001</v>
      </c>
      <c r="I10" s="6">
        <v>31.154</v>
      </c>
      <c r="J10" s="6">
        <v>130.11199999999999</v>
      </c>
      <c r="K10" s="6">
        <v>0.14099999999999999</v>
      </c>
      <c r="L10" s="7">
        <v>2.677</v>
      </c>
      <c r="M10" s="6">
        <v>1.206</v>
      </c>
    </row>
    <row r="12" spans="1:13" ht="20.100000000000001" customHeight="1" x14ac:dyDescent="0.3">
      <c r="A12" s="6" t="s">
        <v>44</v>
      </c>
      <c r="B12" s="6">
        <v>11.741</v>
      </c>
      <c r="C12" s="6">
        <v>0.56599999999999995</v>
      </c>
      <c r="D12" s="6">
        <v>8.1229999999999993</v>
      </c>
      <c r="E12" s="6">
        <v>0.501</v>
      </c>
      <c r="F12" s="6">
        <v>5.0369999999999999</v>
      </c>
      <c r="G12" s="6">
        <v>0.75600000000000001</v>
      </c>
      <c r="H12" s="6">
        <v>1.077</v>
      </c>
      <c r="I12" s="6">
        <v>30.946999999999999</v>
      </c>
      <c r="J12" s="6">
        <v>126.023</v>
      </c>
      <c r="K12" s="6">
        <v>0.10100000000000001</v>
      </c>
      <c r="L12" s="7">
        <v>3.1259999999999999</v>
      </c>
      <c r="M12" s="6">
        <v>0.86199999999999999</v>
      </c>
    </row>
    <row r="13" spans="1:13" ht="20.100000000000001" customHeight="1" x14ac:dyDescent="0.3">
      <c r="A13" s="6" t="s">
        <v>45</v>
      </c>
      <c r="B13" s="6">
        <v>10.497</v>
      </c>
      <c r="C13" s="6">
        <v>0.56399999999999995</v>
      </c>
      <c r="D13" s="6">
        <v>12.73</v>
      </c>
      <c r="E13" s="6">
        <v>0.57699999999999996</v>
      </c>
      <c r="F13" s="6">
        <v>5.0039999999999996</v>
      </c>
      <c r="G13" s="6">
        <v>0.83599999999999997</v>
      </c>
      <c r="H13" s="6">
        <v>0.95699999999999996</v>
      </c>
      <c r="I13" s="6">
        <v>27.431999999999999</v>
      </c>
      <c r="J13" s="6">
        <v>119.596</v>
      </c>
      <c r="K13" s="6">
        <v>7.5999999999999998E-2</v>
      </c>
      <c r="L13" s="7">
        <v>2.4769999999999999</v>
      </c>
      <c r="M13" s="6">
        <v>0.65100000000000002</v>
      </c>
    </row>
    <row r="14" spans="1:13" ht="20.100000000000001" customHeight="1" x14ac:dyDescent="0.3">
      <c r="A14" s="6" t="s">
        <v>46</v>
      </c>
      <c r="B14" s="6">
        <v>12.488</v>
      </c>
      <c r="C14" s="6">
        <v>0.46600000000000003</v>
      </c>
      <c r="D14" s="6">
        <v>7.8979999999999997</v>
      </c>
      <c r="E14" s="6">
        <v>0.42899999999999999</v>
      </c>
      <c r="F14" s="6">
        <v>4.1120000000000001</v>
      </c>
      <c r="G14" s="6">
        <v>0.66900000000000004</v>
      </c>
      <c r="H14" s="6">
        <v>1.0329999999999999</v>
      </c>
      <c r="I14" s="6">
        <v>35.875999999999998</v>
      </c>
      <c r="J14" s="6">
        <v>100.735</v>
      </c>
      <c r="K14" s="6">
        <v>6.0999999999999999E-2</v>
      </c>
      <c r="L14" s="7">
        <v>2.0339999999999998</v>
      </c>
      <c r="M14" s="6">
        <v>0.64100000000000001</v>
      </c>
    </row>
    <row r="16" spans="1:13" ht="20.100000000000001" customHeight="1" x14ac:dyDescent="0.3">
      <c r="A16" s="6" t="s">
        <v>47</v>
      </c>
      <c r="B16" s="6">
        <v>12.558</v>
      </c>
      <c r="C16" s="6">
        <v>0.58599999999999997</v>
      </c>
      <c r="D16" s="6">
        <v>7.5990000000000002</v>
      </c>
      <c r="E16" s="6">
        <v>0.41899999999999998</v>
      </c>
      <c r="F16" s="6">
        <v>3.6349999999999998</v>
      </c>
      <c r="G16" s="6">
        <v>0.76900000000000002</v>
      </c>
      <c r="H16" s="6">
        <v>1.117</v>
      </c>
      <c r="I16" s="6">
        <v>36.011000000000003</v>
      </c>
      <c r="J16" s="6">
        <v>87.046999999999997</v>
      </c>
      <c r="K16" s="6">
        <v>4.2999999999999997E-2</v>
      </c>
      <c r="L16" s="7">
        <v>1.827</v>
      </c>
      <c r="M16" s="6">
        <v>0.47299999999999998</v>
      </c>
    </row>
    <row r="17" spans="1:13" ht="20.100000000000001" customHeight="1" x14ac:dyDescent="0.3">
      <c r="A17" s="6" t="s">
        <v>48</v>
      </c>
      <c r="B17" s="6">
        <v>11.827999999999999</v>
      </c>
      <c r="C17" s="6">
        <v>0.38300000000000001</v>
      </c>
      <c r="D17" s="6">
        <v>8.3819999999999997</v>
      </c>
      <c r="E17" s="6">
        <v>0.54100000000000004</v>
      </c>
      <c r="F17" s="6">
        <v>3.427</v>
      </c>
      <c r="G17" s="6">
        <v>0.79500000000000004</v>
      </c>
      <c r="H17" s="6">
        <v>1.1020000000000001</v>
      </c>
      <c r="I17" s="6">
        <v>34.581000000000003</v>
      </c>
      <c r="J17" s="6">
        <v>92.805999999999997</v>
      </c>
      <c r="K17" s="6">
        <v>4.4999999999999998E-2</v>
      </c>
      <c r="L17" s="7">
        <v>1.796</v>
      </c>
      <c r="M17" s="6">
        <v>0.43099999999999999</v>
      </c>
    </row>
    <row r="18" spans="1:13" ht="20.100000000000001" customHeight="1" x14ac:dyDescent="0.3">
      <c r="A18" s="6" t="s">
        <v>49</v>
      </c>
      <c r="B18" s="6">
        <v>10.752000000000001</v>
      </c>
      <c r="C18" s="6">
        <v>0.42899999999999999</v>
      </c>
      <c r="D18" s="6">
        <v>9.7129999999999992</v>
      </c>
      <c r="E18" s="6">
        <v>1.103</v>
      </c>
      <c r="F18" s="6">
        <v>4.335</v>
      </c>
      <c r="G18" s="6">
        <v>1.196</v>
      </c>
      <c r="H18" s="6">
        <v>1.3640000000000001</v>
      </c>
      <c r="I18" s="6">
        <v>31.026</v>
      </c>
      <c r="J18" s="6">
        <v>84.960999999999999</v>
      </c>
      <c r="K18" s="6">
        <v>4.9000000000000002E-2</v>
      </c>
      <c r="L18" s="7">
        <v>1.913</v>
      </c>
      <c r="M18" s="6">
        <v>0.55500000000000005</v>
      </c>
    </row>
  </sheetData>
  <sortState xmlns:xlrd2="http://schemas.microsoft.com/office/spreadsheetml/2017/richdata2" ref="A3:M16">
    <sortCondition ref="A3"/>
  </sortState>
  <mergeCells count="1">
    <mergeCell ref="A1:M1"/>
  </mergeCells>
  <phoneticPr fontId="22" type="noConversion"/>
  <pageMargins left="0.75" right="0.75" top="1" bottom="1" header="0.51180555555555596" footer="0.5118055555555559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3"/>
  <sheetViews>
    <sheetView workbookViewId="0">
      <pane ySplit="2" topLeftCell="A12" activePane="bottomLeft" state="frozen"/>
      <selection pane="bottomLeft" sqref="A1:O1"/>
    </sheetView>
  </sheetViews>
  <sheetFormatPr defaultColWidth="9" defaultRowHeight="20.100000000000001" customHeight="1" x14ac:dyDescent="0.3"/>
  <cols>
    <col min="1" max="1" width="17.86328125" style="2" customWidth="1"/>
    <col min="2" max="15" width="8.73046875" style="2" customWidth="1"/>
    <col min="16" max="16384" width="9" style="3"/>
  </cols>
  <sheetData>
    <row r="1" spans="1:15" s="1" customFormat="1" ht="30" customHeight="1" x14ac:dyDescent="0.3">
      <c r="A1" s="47" t="s">
        <v>50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1:15" s="1" customFormat="1" ht="30" customHeight="1" x14ac:dyDescent="0.3">
      <c r="A2" s="4"/>
      <c r="B2" s="4" t="s">
        <v>19</v>
      </c>
      <c r="C2" s="4" t="s">
        <v>18</v>
      </c>
      <c r="D2" s="4" t="s">
        <v>6</v>
      </c>
      <c r="E2" s="4" t="s">
        <v>10</v>
      </c>
      <c r="F2" s="4" t="s">
        <v>7</v>
      </c>
      <c r="G2" s="4" t="s">
        <v>8</v>
      </c>
      <c r="H2" s="4" t="s">
        <v>9</v>
      </c>
      <c r="I2" s="4" t="s">
        <v>11</v>
      </c>
      <c r="J2" s="4" t="s">
        <v>21</v>
      </c>
      <c r="K2" s="4" t="s">
        <v>17</v>
      </c>
      <c r="L2" s="4" t="s">
        <v>20</v>
      </c>
      <c r="M2" s="4" t="s">
        <v>15</v>
      </c>
      <c r="N2" s="4" t="s">
        <v>22</v>
      </c>
      <c r="O2" s="4" t="s">
        <v>16</v>
      </c>
    </row>
    <row r="3" spans="1:15" ht="20.100000000000001" customHeight="1" x14ac:dyDescent="0.3">
      <c r="A3" s="2" t="s">
        <v>51</v>
      </c>
      <c r="B3" s="2">
        <v>12.068</v>
      </c>
      <c r="C3" s="2">
        <v>0.54400000000000004</v>
      </c>
      <c r="D3" s="2">
        <v>5.3540000000000001</v>
      </c>
      <c r="E3" s="2">
        <v>0.71499999999999997</v>
      </c>
      <c r="F3" s="2">
        <v>7.3460000000000001</v>
      </c>
      <c r="G3" s="2">
        <v>1.2589999999999999</v>
      </c>
      <c r="H3" s="2">
        <v>1.2609999999999999</v>
      </c>
      <c r="I3" s="2">
        <v>26.47</v>
      </c>
      <c r="J3" s="2">
        <v>0</v>
      </c>
      <c r="K3" s="2">
        <v>98.222999999999999</v>
      </c>
      <c r="L3" s="2">
        <v>8.4000000000000005E-2</v>
      </c>
      <c r="M3" s="2">
        <v>2.673</v>
      </c>
      <c r="N3" s="2">
        <v>1E-3</v>
      </c>
      <c r="O3" s="2">
        <v>0.308</v>
      </c>
    </row>
    <row r="4" spans="1:15" ht="20.100000000000001" customHeight="1" x14ac:dyDescent="0.3">
      <c r="A4" s="2" t="s">
        <v>52</v>
      </c>
      <c r="B4" s="2">
        <v>10.622999999999999</v>
      </c>
      <c r="C4" s="2">
        <v>0.45600000000000002</v>
      </c>
      <c r="D4" s="2">
        <v>5.4740000000000002</v>
      </c>
      <c r="E4" s="2">
        <v>0.69499999999999995</v>
      </c>
      <c r="F4" s="2">
        <v>8.4320000000000004</v>
      </c>
      <c r="G4" s="2">
        <v>1.1120000000000001</v>
      </c>
      <c r="H4" s="2">
        <v>1.2110000000000001</v>
      </c>
      <c r="I4" s="2">
        <v>16.542999999999999</v>
      </c>
      <c r="J4" s="2">
        <v>5.0000000000000001E-3</v>
      </c>
      <c r="K4" s="2">
        <v>65.356999999999999</v>
      </c>
      <c r="L4" s="2">
        <v>3.1E-2</v>
      </c>
      <c r="M4" s="2">
        <v>1.66</v>
      </c>
      <c r="N4" s="2">
        <v>1E-3</v>
      </c>
      <c r="O4" s="2">
        <v>0.14699999999999999</v>
      </c>
    </row>
    <row r="5" spans="1:15" ht="20.100000000000001" customHeight="1" x14ac:dyDescent="0.3">
      <c r="A5" s="2" t="s">
        <v>53</v>
      </c>
      <c r="B5" s="2">
        <v>12.513999999999999</v>
      </c>
      <c r="C5" s="2">
        <v>0.32600000000000001</v>
      </c>
      <c r="D5" s="2">
        <v>5.875</v>
      </c>
      <c r="E5" s="2">
        <v>0.94399999999999995</v>
      </c>
      <c r="F5" s="2">
        <v>8.798</v>
      </c>
      <c r="G5" s="2">
        <v>1.298</v>
      </c>
      <c r="H5" s="2">
        <v>1.2689999999999999</v>
      </c>
      <c r="I5" s="2">
        <v>25.744</v>
      </c>
      <c r="J5" s="2">
        <v>0</v>
      </c>
      <c r="K5" s="2">
        <v>130.52699999999999</v>
      </c>
      <c r="L5" s="2">
        <v>7.4999999999999997E-2</v>
      </c>
      <c r="M5" s="2">
        <v>2.6080000000000001</v>
      </c>
      <c r="N5" s="2">
        <v>2E-3</v>
      </c>
      <c r="O5" s="2">
        <v>0.35599999999999998</v>
      </c>
    </row>
    <row r="7" spans="1:15" ht="20.100000000000001" customHeight="1" x14ac:dyDescent="0.3">
      <c r="A7" s="2" t="s">
        <v>54</v>
      </c>
      <c r="B7" s="2">
        <v>11.022</v>
      </c>
      <c r="C7" s="2">
        <v>4.1000000000000002E-2</v>
      </c>
      <c r="D7" s="2">
        <v>4.7610000000000001</v>
      </c>
      <c r="E7" s="2">
        <v>0.499</v>
      </c>
      <c r="F7" s="2">
        <v>7.2679999999999998</v>
      </c>
      <c r="G7" s="2">
        <v>0.91900000000000004</v>
      </c>
      <c r="H7" s="2">
        <v>1.117</v>
      </c>
      <c r="I7" s="2">
        <v>16.399999999999999</v>
      </c>
      <c r="J7" s="2">
        <v>1E-3</v>
      </c>
      <c r="K7" s="2">
        <v>68.540999999999997</v>
      </c>
      <c r="L7" s="2">
        <v>2.1000000000000001E-2</v>
      </c>
      <c r="M7" s="2">
        <v>0.86299999999999999</v>
      </c>
      <c r="N7" s="2">
        <v>0</v>
      </c>
      <c r="O7" s="2">
        <v>6.7000000000000004E-2</v>
      </c>
    </row>
    <row r="8" spans="1:15" ht="20.100000000000001" customHeight="1" x14ac:dyDescent="0.3">
      <c r="A8" s="2" t="s">
        <v>55</v>
      </c>
      <c r="B8" s="2">
        <v>12.987</v>
      </c>
      <c r="C8" s="2">
        <v>0.32200000000000001</v>
      </c>
      <c r="D8" s="2">
        <v>8.18</v>
      </c>
      <c r="E8" s="2">
        <v>0.69599999999999995</v>
      </c>
      <c r="F8" s="2">
        <v>7.2350000000000003</v>
      </c>
      <c r="G8" s="2">
        <v>0.98599999999999999</v>
      </c>
      <c r="H8" s="2">
        <v>0.96499999999999997</v>
      </c>
      <c r="I8" s="2">
        <v>26.899000000000001</v>
      </c>
      <c r="J8" s="2">
        <v>2E-3</v>
      </c>
      <c r="K8" s="2">
        <v>89.515000000000001</v>
      </c>
      <c r="L8" s="2">
        <v>3.5999999999999997E-2</v>
      </c>
      <c r="M8" s="2">
        <v>1.673</v>
      </c>
      <c r="N8" s="2">
        <v>1E-3</v>
      </c>
      <c r="O8" s="2">
        <v>8.4000000000000005E-2</v>
      </c>
    </row>
    <row r="9" spans="1:15" ht="20.100000000000001" customHeight="1" x14ac:dyDescent="0.3">
      <c r="A9" s="2" t="s">
        <v>56</v>
      </c>
      <c r="B9" s="2">
        <v>13.276</v>
      </c>
      <c r="C9" s="2">
        <v>0.48099999999999998</v>
      </c>
      <c r="D9" s="2">
        <v>6.181</v>
      </c>
      <c r="E9" s="2">
        <v>0.63300000000000001</v>
      </c>
      <c r="F9" s="2">
        <v>7.13</v>
      </c>
      <c r="G9" s="2">
        <v>0.98899999999999999</v>
      </c>
      <c r="H9" s="2">
        <v>1.2230000000000001</v>
      </c>
      <c r="I9" s="2">
        <v>29.957000000000001</v>
      </c>
      <c r="J9" s="2">
        <v>1E-3</v>
      </c>
      <c r="K9" s="2">
        <v>99.908000000000001</v>
      </c>
      <c r="L9" s="2">
        <v>4.2000000000000003E-2</v>
      </c>
      <c r="M9" s="2">
        <v>2.1640000000000001</v>
      </c>
      <c r="N9" s="2">
        <v>1E-3</v>
      </c>
      <c r="O9" s="2">
        <v>0.11899999999999999</v>
      </c>
    </row>
    <row r="11" spans="1:15" ht="20.100000000000001" customHeight="1" x14ac:dyDescent="0.3">
      <c r="A11" s="2" t="s">
        <v>57</v>
      </c>
      <c r="B11" s="2">
        <v>10.579000000000001</v>
      </c>
      <c r="C11" s="2">
        <v>0.215</v>
      </c>
      <c r="D11" s="2">
        <v>4.2089999999999996</v>
      </c>
      <c r="E11" s="2">
        <v>0.48699999999999999</v>
      </c>
      <c r="F11" s="2">
        <v>5.5</v>
      </c>
      <c r="G11" s="2">
        <v>0.98499999999999999</v>
      </c>
      <c r="H11" s="2">
        <v>1.623</v>
      </c>
      <c r="I11" s="2">
        <v>17.164999999999999</v>
      </c>
      <c r="J11" s="2">
        <v>0</v>
      </c>
      <c r="K11" s="2">
        <v>75.188999999999993</v>
      </c>
      <c r="L11" s="2">
        <v>8.9999999999999993E-3</v>
      </c>
      <c r="M11" s="2">
        <v>0.496</v>
      </c>
      <c r="N11" s="2">
        <v>0</v>
      </c>
      <c r="O11" s="2">
        <v>3.9E-2</v>
      </c>
    </row>
    <row r="12" spans="1:15" ht="20.100000000000001" customHeight="1" x14ac:dyDescent="0.3">
      <c r="A12" s="2" t="s">
        <v>58</v>
      </c>
      <c r="B12" s="2">
        <v>12.006</v>
      </c>
      <c r="C12" s="2">
        <v>0.51500000000000001</v>
      </c>
      <c r="D12" s="2">
        <v>6.4420000000000002</v>
      </c>
      <c r="E12" s="2">
        <v>0.80100000000000005</v>
      </c>
      <c r="F12" s="2">
        <v>5.6660000000000004</v>
      </c>
      <c r="G12" s="2">
        <v>1.254</v>
      </c>
      <c r="H12" s="2">
        <v>1.67</v>
      </c>
      <c r="I12" s="2">
        <v>26.359000000000002</v>
      </c>
      <c r="J12" s="2">
        <v>0</v>
      </c>
      <c r="K12" s="2">
        <v>84.832999999999998</v>
      </c>
      <c r="L12" s="2">
        <v>2.1999999999999999E-2</v>
      </c>
      <c r="M12" s="2">
        <v>1.571</v>
      </c>
      <c r="N12" s="2">
        <v>1E-3</v>
      </c>
      <c r="O12" s="2">
        <v>7.6999999999999999E-2</v>
      </c>
    </row>
    <row r="13" spans="1:15" ht="20.100000000000001" customHeight="1" x14ac:dyDescent="0.3">
      <c r="A13" s="2" t="s">
        <v>59</v>
      </c>
      <c r="B13" s="2">
        <v>13.128</v>
      </c>
      <c r="C13" s="2">
        <v>0.51200000000000001</v>
      </c>
      <c r="D13" s="2">
        <v>6.7619999999999996</v>
      </c>
      <c r="E13" s="2">
        <v>1.083</v>
      </c>
      <c r="F13" s="2">
        <v>6.0869999999999997</v>
      </c>
      <c r="G13" s="2">
        <v>1.35</v>
      </c>
      <c r="H13" s="2">
        <v>1.4019999999999999</v>
      </c>
      <c r="I13" s="2">
        <v>30.308</v>
      </c>
      <c r="J13" s="2">
        <v>0</v>
      </c>
      <c r="K13" s="2">
        <v>80.338999999999999</v>
      </c>
      <c r="L13" s="2">
        <v>0.03</v>
      </c>
      <c r="M13" s="2">
        <v>1.8129999999999999</v>
      </c>
      <c r="N13" s="2">
        <v>1E-3</v>
      </c>
      <c r="O13" s="2">
        <v>9.2999999999999999E-2</v>
      </c>
    </row>
  </sheetData>
  <mergeCells count="1">
    <mergeCell ref="A1:O1"/>
  </mergeCells>
  <phoneticPr fontId="22" type="noConversion"/>
  <pageMargins left="0.75" right="0.75" top="1" bottom="1" header="0.51180555555555596" footer="0.5118055555555559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O41"/>
  <sheetViews>
    <sheetView workbookViewId="0">
      <selection activeCell="A4" sqref="A4"/>
    </sheetView>
  </sheetViews>
  <sheetFormatPr defaultColWidth="9" defaultRowHeight="21.95" customHeight="1" x14ac:dyDescent="0.3"/>
  <cols>
    <col min="1" max="1" width="17.59765625" style="14" customWidth="1"/>
    <col min="2" max="2" width="10.3984375" style="14" customWidth="1"/>
    <col min="3" max="3" width="12.3984375" style="14" customWidth="1"/>
    <col min="4" max="4" width="3.86328125" style="14" customWidth="1"/>
    <col min="5" max="5" width="17.73046875" style="14" customWidth="1"/>
    <col min="6" max="6" width="10.3984375" style="14" customWidth="1"/>
    <col min="7" max="7" width="13.265625" style="14" customWidth="1"/>
    <col min="8" max="8" width="12" style="14" customWidth="1"/>
    <col min="9" max="16384" width="9" style="14"/>
  </cols>
  <sheetData>
    <row r="1" spans="1:67" ht="33" customHeight="1" x14ac:dyDescent="0.3">
      <c r="A1" s="34" t="s">
        <v>23</v>
      </c>
      <c r="B1" s="34"/>
      <c r="C1" s="34"/>
      <c r="D1" s="34"/>
      <c r="E1" s="34"/>
      <c r="F1" s="34"/>
      <c r="G1" s="34"/>
      <c r="H1" s="18" t="s">
        <v>0</v>
      </c>
    </row>
    <row r="2" spans="1:67" s="10" customFormat="1" ht="33" customHeight="1" x14ac:dyDescent="0.4">
      <c r="A2" s="35" t="s">
        <v>70</v>
      </c>
      <c r="B2" s="35"/>
      <c r="C2" s="35"/>
      <c r="D2" s="29"/>
      <c r="E2" s="49" t="s">
        <v>71</v>
      </c>
      <c r="F2" s="36"/>
      <c r="G2" s="36"/>
      <c r="J2" s="27"/>
      <c r="K2" s="26"/>
      <c r="M2" s="27"/>
      <c r="N2" s="26"/>
      <c r="Q2" s="27" t="s">
        <v>3</v>
      </c>
      <c r="R2" s="27" t="s">
        <v>3</v>
      </c>
      <c r="S2" s="27" t="s">
        <v>3</v>
      </c>
      <c r="T2" s="27" t="s">
        <v>4</v>
      </c>
      <c r="U2" s="27" t="s">
        <v>4</v>
      </c>
      <c r="V2" s="27" t="s">
        <v>4</v>
      </c>
      <c r="W2" s="27" t="s">
        <v>5</v>
      </c>
      <c r="X2" s="27" t="s">
        <v>5</v>
      </c>
      <c r="Y2" s="27" t="s">
        <v>5</v>
      </c>
      <c r="Z2" s="27" t="s">
        <v>6</v>
      </c>
      <c r="AA2" s="27" t="s">
        <v>6</v>
      </c>
      <c r="AB2" s="27" t="s">
        <v>6</v>
      </c>
      <c r="AC2" s="27" t="s">
        <v>7</v>
      </c>
      <c r="AD2" s="27" t="s">
        <v>7</v>
      </c>
      <c r="AE2" s="27" t="s">
        <v>7</v>
      </c>
      <c r="AF2" s="27" t="s">
        <v>8</v>
      </c>
      <c r="AG2" s="27" t="s">
        <v>8</v>
      </c>
      <c r="AH2" s="27" t="s">
        <v>8</v>
      </c>
      <c r="AI2" s="27" t="s">
        <v>9</v>
      </c>
      <c r="AJ2" s="27" t="s">
        <v>9</v>
      </c>
      <c r="AK2" s="27" t="s">
        <v>9</v>
      </c>
      <c r="AL2" s="27" t="s">
        <v>10</v>
      </c>
      <c r="AM2" s="27" t="s">
        <v>10</v>
      </c>
      <c r="AN2" s="27" t="s">
        <v>10</v>
      </c>
      <c r="AO2" s="27" t="s">
        <v>11</v>
      </c>
      <c r="AP2" s="27" t="s">
        <v>11</v>
      </c>
      <c r="AQ2" s="27" t="s">
        <v>11</v>
      </c>
      <c r="AR2" s="27" t="s">
        <v>62</v>
      </c>
      <c r="AS2" s="27" t="s">
        <v>62</v>
      </c>
      <c r="AT2" s="27" t="s">
        <v>62</v>
      </c>
      <c r="AU2" s="27" t="s">
        <v>63</v>
      </c>
      <c r="AV2" s="27" t="s">
        <v>63</v>
      </c>
      <c r="AW2" s="27" t="s">
        <v>63</v>
      </c>
      <c r="AX2" s="27" t="s">
        <v>16</v>
      </c>
      <c r="AY2" s="27" t="s">
        <v>16</v>
      </c>
      <c r="AZ2" s="27" t="s">
        <v>16</v>
      </c>
      <c r="BA2" s="27" t="s">
        <v>15</v>
      </c>
      <c r="BB2" s="27" t="s">
        <v>15</v>
      </c>
      <c r="BC2" s="27" t="s">
        <v>15</v>
      </c>
      <c r="BD2" s="27" t="s">
        <v>64</v>
      </c>
      <c r="BE2" s="27" t="s">
        <v>64</v>
      </c>
      <c r="BF2" s="27" t="s">
        <v>64</v>
      </c>
      <c r="BG2" s="27" t="s">
        <v>65</v>
      </c>
      <c r="BH2" s="27" t="s">
        <v>65</v>
      </c>
      <c r="BI2" s="27" t="s">
        <v>65</v>
      </c>
      <c r="BJ2" s="27" t="s">
        <v>66</v>
      </c>
      <c r="BK2" s="27" t="s">
        <v>66</v>
      </c>
      <c r="BL2" s="27" t="s">
        <v>66</v>
      </c>
      <c r="BM2" s="27" t="s">
        <v>67</v>
      </c>
      <c r="BN2" s="27" t="s">
        <v>67</v>
      </c>
      <c r="BO2" s="27" t="s">
        <v>67</v>
      </c>
    </row>
    <row r="3" spans="1:67" s="13" customFormat="1" ht="33" customHeight="1" x14ac:dyDescent="0.4">
      <c r="A3" s="15" t="s">
        <v>1</v>
      </c>
      <c r="B3" s="15" t="s">
        <v>2</v>
      </c>
      <c r="C3" s="20" t="s">
        <v>60</v>
      </c>
      <c r="D3" s="15"/>
      <c r="E3" s="15" t="s">
        <v>1</v>
      </c>
      <c r="F3" s="15" t="s">
        <v>2</v>
      </c>
      <c r="G3" s="20" t="s">
        <v>60</v>
      </c>
      <c r="J3" s="27"/>
      <c r="K3" s="26"/>
      <c r="M3" s="27"/>
      <c r="N3" s="26"/>
      <c r="Q3" s="26" t="s">
        <v>68</v>
      </c>
      <c r="R3" s="30"/>
      <c r="S3" s="26">
        <v>32.253999999999998</v>
      </c>
      <c r="T3" s="26" t="s">
        <v>68</v>
      </c>
      <c r="U3" s="30"/>
      <c r="V3" s="26">
        <v>1.6146</v>
      </c>
      <c r="W3" s="26" t="s">
        <v>68</v>
      </c>
      <c r="X3" s="30"/>
      <c r="Y3" s="26">
        <v>6.3902000000000001</v>
      </c>
      <c r="Z3" s="26" t="s">
        <v>68</v>
      </c>
      <c r="AA3" s="30"/>
      <c r="AB3" s="26">
        <v>22.9864</v>
      </c>
      <c r="AC3" s="26" t="s">
        <v>68</v>
      </c>
      <c r="AD3" s="30"/>
      <c r="AE3" s="26">
        <v>12.44</v>
      </c>
      <c r="AF3" s="26" t="s">
        <v>68</v>
      </c>
      <c r="AG3" s="26" t="s">
        <v>69</v>
      </c>
      <c r="AH3" s="26">
        <v>0.41</v>
      </c>
      <c r="AI3" s="26" t="s">
        <v>68</v>
      </c>
      <c r="AJ3" s="30"/>
      <c r="AK3" s="26">
        <v>0.23</v>
      </c>
      <c r="AL3" s="26" t="s">
        <v>68</v>
      </c>
      <c r="AM3" s="30"/>
      <c r="AN3" s="26">
        <v>3.59</v>
      </c>
      <c r="AO3" s="26" t="s">
        <v>68</v>
      </c>
      <c r="AP3" s="30"/>
      <c r="AQ3" s="26">
        <v>1.49</v>
      </c>
      <c r="AR3" s="26" t="s">
        <v>68</v>
      </c>
      <c r="AS3" s="30"/>
      <c r="AT3" s="26">
        <v>4.3999999999999997E-2</v>
      </c>
      <c r="AU3" s="26" t="s">
        <v>68</v>
      </c>
      <c r="AV3" s="30"/>
      <c r="AW3" s="26">
        <v>0.39</v>
      </c>
      <c r="AX3" s="26" t="s">
        <v>68</v>
      </c>
      <c r="AY3" s="30"/>
      <c r="AZ3" s="26">
        <v>4.1000000000000003E-3</v>
      </c>
      <c r="BA3" s="26" t="s">
        <v>68</v>
      </c>
      <c r="BB3" s="30"/>
      <c r="BC3" s="26">
        <v>3.2000000000000001E-2</v>
      </c>
      <c r="BD3" s="26" t="s">
        <v>68</v>
      </c>
      <c r="BE3" s="30"/>
      <c r="BF3" s="26">
        <v>1.6E-2</v>
      </c>
      <c r="BG3" s="26" t="s">
        <v>68</v>
      </c>
      <c r="BH3" s="30"/>
      <c r="BI3" s="26">
        <v>0.17</v>
      </c>
      <c r="BJ3" s="26" t="s">
        <v>68</v>
      </c>
      <c r="BK3" s="30"/>
      <c r="BL3" s="26">
        <v>1.95</v>
      </c>
      <c r="BM3" s="26" t="s">
        <v>68</v>
      </c>
      <c r="BN3" s="30"/>
      <c r="BO3" s="26">
        <v>0.43</v>
      </c>
    </row>
    <row r="4" spans="1:67" ht="24.95" customHeight="1" x14ac:dyDescent="0.4">
      <c r="A4" s="23" t="s">
        <v>72</v>
      </c>
      <c r="B4" s="16"/>
      <c r="C4" s="16"/>
      <c r="D4" s="16"/>
      <c r="E4" s="23"/>
      <c r="F4" s="16"/>
      <c r="G4" s="16"/>
      <c r="J4" s="26">
        <v>2</v>
      </c>
      <c r="K4" s="28">
        <v>1</v>
      </c>
      <c r="L4" s="27" t="s">
        <v>3</v>
      </c>
      <c r="M4" s="26">
        <v>33.448399999999999</v>
      </c>
      <c r="N4" s="27"/>
      <c r="O4" s="27" t="s">
        <v>3</v>
      </c>
      <c r="P4" s="26">
        <v>33.882800000000003</v>
      </c>
      <c r="Q4" s="28"/>
      <c r="R4" s="27"/>
      <c r="S4" s="26"/>
    </row>
    <row r="5" spans="1:67" ht="24.95" customHeight="1" x14ac:dyDescent="0.4">
      <c r="A5" s="16"/>
      <c r="B5" s="16" t="s">
        <v>3</v>
      </c>
      <c r="C5" s="19">
        <v>27.8308</v>
      </c>
      <c r="D5" s="16"/>
      <c r="E5" s="16"/>
      <c r="F5" s="16"/>
      <c r="G5" s="19"/>
      <c r="J5" s="26">
        <v>3</v>
      </c>
      <c r="K5" s="26">
        <v>2</v>
      </c>
      <c r="L5" s="27" t="s">
        <v>4</v>
      </c>
      <c r="M5" s="26">
        <v>1.3823000000000001</v>
      </c>
      <c r="N5" s="27"/>
      <c r="O5" s="27" t="s">
        <v>4</v>
      </c>
      <c r="P5" s="26">
        <v>1.2950999999999999</v>
      </c>
      <c r="Q5" s="26"/>
      <c r="R5" s="27" t="s">
        <v>3</v>
      </c>
      <c r="S5" s="26" t="s">
        <v>68</v>
      </c>
    </row>
    <row r="6" spans="1:67" ht="24.95" customHeight="1" x14ac:dyDescent="0.4">
      <c r="A6" s="16"/>
      <c r="B6" s="16" t="s">
        <v>4</v>
      </c>
      <c r="C6" s="19">
        <v>3.9519000000000002</v>
      </c>
      <c r="D6" s="16"/>
      <c r="E6" s="16"/>
      <c r="F6" s="16"/>
      <c r="G6" s="19"/>
      <c r="J6" s="26">
        <v>4</v>
      </c>
      <c r="K6" s="26">
        <v>3</v>
      </c>
      <c r="L6" s="27" t="s">
        <v>5</v>
      </c>
      <c r="M6" s="26">
        <v>6.9172000000000002</v>
      </c>
      <c r="N6" s="27"/>
      <c r="O6" s="27" t="s">
        <v>5</v>
      </c>
      <c r="P6" s="26">
        <v>7.3226000000000004</v>
      </c>
      <c r="Q6" s="26"/>
      <c r="R6" s="27" t="s">
        <v>3</v>
      </c>
      <c r="S6" s="30"/>
    </row>
    <row r="7" spans="1:67" ht="24.95" customHeight="1" x14ac:dyDescent="0.4">
      <c r="A7" s="16"/>
      <c r="B7" s="16" t="s">
        <v>5</v>
      </c>
      <c r="C7" s="19">
        <v>10.672800000000001</v>
      </c>
      <c r="D7" s="16"/>
      <c r="E7" s="16"/>
      <c r="F7" s="16"/>
      <c r="G7" s="19"/>
      <c r="J7" s="26">
        <v>5</v>
      </c>
      <c r="K7" s="26">
        <v>4</v>
      </c>
      <c r="L7" s="27" t="s">
        <v>6</v>
      </c>
      <c r="M7" s="26">
        <v>20.372399999999999</v>
      </c>
      <c r="N7" s="27"/>
      <c r="O7" s="27" t="s">
        <v>6</v>
      </c>
      <c r="P7" s="26">
        <v>22.5212</v>
      </c>
      <c r="Q7" s="26"/>
      <c r="R7" s="27" t="s">
        <v>3</v>
      </c>
      <c r="S7" s="26">
        <v>32.253999999999998</v>
      </c>
    </row>
    <row r="8" spans="1:67" ht="24.95" customHeight="1" x14ac:dyDescent="0.4">
      <c r="A8" s="16"/>
      <c r="B8" s="16" t="s">
        <v>6</v>
      </c>
      <c r="C8" s="19">
        <v>17.977799999999998</v>
      </c>
      <c r="D8" s="16"/>
      <c r="E8" s="16"/>
      <c r="F8" s="16"/>
      <c r="G8" s="19"/>
      <c r="J8" s="26">
        <v>6</v>
      </c>
      <c r="K8" s="26">
        <v>5</v>
      </c>
      <c r="L8" s="27" t="s">
        <v>7</v>
      </c>
      <c r="M8" s="26">
        <v>13.23</v>
      </c>
      <c r="N8" s="27"/>
      <c r="O8" s="27" t="s">
        <v>7</v>
      </c>
      <c r="P8" s="26">
        <v>11.4</v>
      </c>
      <c r="Q8" s="26"/>
      <c r="R8" s="27" t="s">
        <v>4</v>
      </c>
      <c r="S8" s="26" t="s">
        <v>68</v>
      </c>
    </row>
    <row r="9" spans="1:67" ht="24.95" customHeight="1" x14ac:dyDescent="0.4">
      <c r="A9" s="16"/>
      <c r="B9" s="16" t="s">
        <v>7</v>
      </c>
      <c r="C9" s="19">
        <v>11.74</v>
      </c>
      <c r="D9" s="16"/>
      <c r="E9" s="16"/>
      <c r="F9" s="16"/>
      <c r="G9" s="19"/>
      <c r="J9" s="26">
        <v>7</v>
      </c>
      <c r="K9" s="26">
        <v>6</v>
      </c>
      <c r="L9" s="27" t="s">
        <v>8</v>
      </c>
      <c r="M9" s="26">
        <v>0.18</v>
      </c>
      <c r="N9" s="27"/>
      <c r="O9" s="27" t="s">
        <v>8</v>
      </c>
      <c r="P9" s="26">
        <v>0.26</v>
      </c>
      <c r="Q9" s="26"/>
      <c r="R9" s="27" t="s">
        <v>4</v>
      </c>
      <c r="S9" s="30"/>
    </row>
    <row r="10" spans="1:67" ht="24.95" customHeight="1" x14ac:dyDescent="0.4">
      <c r="A10" s="16"/>
      <c r="B10" s="16" t="s">
        <v>8</v>
      </c>
      <c r="C10" s="19">
        <v>0.53</v>
      </c>
      <c r="D10" s="16"/>
      <c r="E10" s="16"/>
      <c r="F10" s="16"/>
      <c r="G10" s="19"/>
      <c r="J10" s="26">
        <v>8</v>
      </c>
      <c r="K10" s="26">
        <v>7</v>
      </c>
      <c r="L10" s="27" t="s">
        <v>9</v>
      </c>
      <c r="M10" s="26">
        <v>0.14000000000000001</v>
      </c>
      <c r="N10" s="27"/>
      <c r="O10" s="27" t="s">
        <v>9</v>
      </c>
      <c r="P10" s="26">
        <v>0.22</v>
      </c>
      <c r="Q10" s="26"/>
      <c r="R10" s="27" t="s">
        <v>4</v>
      </c>
      <c r="S10" s="26">
        <v>1.6146</v>
      </c>
    </row>
    <row r="11" spans="1:67" ht="24.95" customHeight="1" x14ac:dyDescent="0.4">
      <c r="A11" s="16"/>
      <c r="B11" s="16" t="s">
        <v>9</v>
      </c>
      <c r="C11" s="19">
        <v>0.36</v>
      </c>
      <c r="D11" s="16"/>
      <c r="E11" s="16"/>
      <c r="F11" s="16"/>
      <c r="G11" s="19"/>
      <c r="J11" s="26">
        <v>9</v>
      </c>
      <c r="K11" s="26">
        <v>8</v>
      </c>
      <c r="L11" s="27" t="s">
        <v>10</v>
      </c>
      <c r="M11" s="26">
        <v>3.05</v>
      </c>
      <c r="N11" s="27"/>
      <c r="O11" s="27" t="s">
        <v>10</v>
      </c>
      <c r="P11" s="26">
        <v>3.41</v>
      </c>
      <c r="Q11" s="26"/>
      <c r="R11" s="27" t="s">
        <v>5</v>
      </c>
      <c r="S11" s="26" t="s">
        <v>68</v>
      </c>
    </row>
    <row r="12" spans="1:67" ht="24.95" customHeight="1" x14ac:dyDescent="0.4">
      <c r="A12" s="16"/>
      <c r="B12" s="16" t="s">
        <v>10</v>
      </c>
      <c r="C12" s="19">
        <v>8.59</v>
      </c>
      <c r="D12" s="16"/>
      <c r="E12" s="16"/>
      <c r="F12" s="16"/>
      <c r="G12" s="19"/>
      <c r="J12" s="26"/>
      <c r="K12" s="26">
        <v>9</v>
      </c>
      <c r="L12" s="27" t="s">
        <v>11</v>
      </c>
      <c r="M12" s="26">
        <v>1.3</v>
      </c>
      <c r="N12" s="27"/>
      <c r="O12" s="27" t="s">
        <v>11</v>
      </c>
      <c r="P12" s="26">
        <v>1.06</v>
      </c>
      <c r="Q12" s="26"/>
      <c r="R12" s="27" t="s">
        <v>5</v>
      </c>
      <c r="S12" s="30"/>
    </row>
    <row r="13" spans="1:67" ht="24.95" customHeight="1" x14ac:dyDescent="0.4">
      <c r="A13" s="16"/>
      <c r="B13" s="16" t="s">
        <v>11</v>
      </c>
      <c r="C13" s="19">
        <v>1.23</v>
      </c>
      <c r="D13" s="16"/>
      <c r="E13" s="16"/>
      <c r="F13" s="16"/>
      <c r="G13" s="19"/>
      <c r="J13" s="26"/>
      <c r="K13" s="26"/>
      <c r="L13" s="27" t="s">
        <v>62</v>
      </c>
      <c r="M13" s="26">
        <v>4.3999999999999997E-2</v>
      </c>
      <c r="N13" s="27"/>
      <c r="O13" s="27" t="s">
        <v>62</v>
      </c>
      <c r="P13" s="26">
        <v>4.7E-2</v>
      </c>
      <c r="Q13" s="26"/>
      <c r="R13" s="27" t="s">
        <v>5</v>
      </c>
      <c r="S13" s="26">
        <v>6.3902000000000001</v>
      </c>
    </row>
    <row r="14" spans="1:67" ht="24.95" customHeight="1" x14ac:dyDescent="0.4">
      <c r="A14" s="24" t="s">
        <v>12</v>
      </c>
      <c r="B14" s="37" t="s">
        <v>13</v>
      </c>
      <c r="C14" s="37"/>
      <c r="D14" s="16"/>
      <c r="E14" s="24" t="s">
        <v>12</v>
      </c>
      <c r="F14" s="37" t="s">
        <v>13</v>
      </c>
      <c r="G14" s="37"/>
      <c r="J14" s="26"/>
      <c r="K14" s="26"/>
      <c r="L14" s="27" t="s">
        <v>63</v>
      </c>
      <c r="M14" s="26">
        <v>0.36</v>
      </c>
      <c r="N14" s="27"/>
      <c r="O14" s="27" t="s">
        <v>63</v>
      </c>
      <c r="P14" s="26">
        <v>0.38</v>
      </c>
      <c r="Q14" s="26"/>
      <c r="R14" s="27" t="s">
        <v>6</v>
      </c>
      <c r="S14" s="26" t="s">
        <v>68</v>
      </c>
    </row>
    <row r="15" spans="1:67" ht="21.95" customHeight="1" x14ac:dyDescent="0.4">
      <c r="J15" s="26"/>
      <c r="K15" s="26"/>
      <c r="L15" s="27" t="s">
        <v>16</v>
      </c>
      <c r="M15" s="26">
        <v>3.3E-3</v>
      </c>
      <c r="N15" s="27"/>
      <c r="O15" s="27" t="s">
        <v>16</v>
      </c>
      <c r="P15" s="26">
        <v>2.3999999999999998E-3</v>
      </c>
      <c r="Q15" s="26"/>
      <c r="R15" s="27" t="s">
        <v>6</v>
      </c>
      <c r="S15" s="30"/>
    </row>
    <row r="16" spans="1:67" ht="21.95" customHeight="1" x14ac:dyDescent="0.4">
      <c r="A16" s="17" t="s">
        <v>14</v>
      </c>
      <c r="B16" s="17" t="s">
        <v>61</v>
      </c>
      <c r="C16" s="17"/>
      <c r="D16" s="17"/>
      <c r="E16" s="17" t="s">
        <v>14</v>
      </c>
      <c r="F16" s="17" t="s">
        <v>61</v>
      </c>
      <c r="J16" s="26"/>
      <c r="K16" s="26"/>
      <c r="L16" s="27" t="s">
        <v>15</v>
      </c>
      <c r="M16" s="26">
        <v>2.8000000000000001E-2</v>
      </c>
      <c r="N16" s="27"/>
      <c r="O16" s="27" t="s">
        <v>15</v>
      </c>
      <c r="P16" s="26">
        <v>3.1E-2</v>
      </c>
      <c r="Q16" s="26"/>
      <c r="R16" s="27" t="s">
        <v>6</v>
      </c>
      <c r="S16" s="26">
        <v>22.9864</v>
      </c>
    </row>
    <row r="17" spans="1:19" ht="21.95" customHeight="1" x14ac:dyDescent="0.4">
      <c r="A17" s="22">
        <f>SUM(C5+C9+C8)</f>
        <v>57.548599999999993</v>
      </c>
      <c r="B17" s="22">
        <f>C11+C10</f>
        <v>0.89</v>
      </c>
      <c r="C17" s="17"/>
      <c r="D17" s="17"/>
      <c r="E17" s="22">
        <f>G5+G8+G9</f>
        <v>0</v>
      </c>
      <c r="F17" s="22">
        <f>G10+G11</f>
        <v>0</v>
      </c>
      <c r="J17" s="26"/>
      <c r="K17" s="26"/>
      <c r="L17" s="27" t="s">
        <v>64</v>
      </c>
      <c r="M17" s="26">
        <v>1.7000000000000001E-2</v>
      </c>
      <c r="N17" s="27"/>
      <c r="O17" s="27" t="s">
        <v>64</v>
      </c>
      <c r="P17" s="26">
        <v>3.5000000000000003E-2</v>
      </c>
      <c r="Q17" s="26"/>
      <c r="R17" s="27" t="s">
        <v>7</v>
      </c>
      <c r="S17" s="26" t="s">
        <v>68</v>
      </c>
    </row>
    <row r="18" spans="1:19" ht="21.95" customHeight="1" x14ac:dyDescent="0.4">
      <c r="J18" s="26"/>
      <c r="K18" s="26"/>
      <c r="L18" s="27" t="s">
        <v>65</v>
      </c>
      <c r="M18" s="26">
        <v>0.18</v>
      </c>
      <c r="N18" s="27"/>
      <c r="O18" s="27" t="s">
        <v>65</v>
      </c>
      <c r="P18" s="26">
        <v>0.19</v>
      </c>
      <c r="Q18" s="26"/>
      <c r="R18" s="27" t="s">
        <v>7</v>
      </c>
      <c r="S18" s="30"/>
    </row>
    <row r="19" spans="1:19" ht="21.95" customHeight="1" x14ac:dyDescent="0.4">
      <c r="J19" s="28"/>
      <c r="K19" s="26"/>
      <c r="L19" s="27" t="s">
        <v>66</v>
      </c>
      <c r="M19" s="26">
        <v>1.65</v>
      </c>
      <c r="N19" s="27"/>
      <c r="O19" s="27" t="s">
        <v>66</v>
      </c>
      <c r="P19" s="26">
        <v>1.75</v>
      </c>
      <c r="Q19" s="26"/>
      <c r="R19" s="27" t="s">
        <v>7</v>
      </c>
      <c r="S19" s="26">
        <v>12.44</v>
      </c>
    </row>
    <row r="20" spans="1:19" ht="21.95" customHeight="1" x14ac:dyDescent="0.4">
      <c r="J20" s="28">
        <v>1</v>
      </c>
      <c r="K20" s="28"/>
      <c r="L20" s="27" t="s">
        <v>67</v>
      </c>
      <c r="M20" s="26">
        <v>0.47</v>
      </c>
      <c r="N20" s="27"/>
      <c r="O20" s="27" t="s">
        <v>67</v>
      </c>
      <c r="P20" s="26">
        <v>0.44</v>
      </c>
      <c r="Q20" s="28"/>
      <c r="R20" s="27" t="s">
        <v>8</v>
      </c>
      <c r="S20" s="26" t="s">
        <v>68</v>
      </c>
    </row>
    <row r="21" spans="1:19" ht="21.95" customHeight="1" x14ac:dyDescent="0.4">
      <c r="R21" s="27" t="s">
        <v>63</v>
      </c>
      <c r="S21" s="26" t="s">
        <v>68</v>
      </c>
    </row>
    <row r="22" spans="1:19" ht="21.95" customHeight="1" x14ac:dyDescent="0.4">
      <c r="R22" s="27" t="s">
        <v>63</v>
      </c>
      <c r="S22" s="30"/>
    </row>
    <row r="23" spans="1:19" ht="21.95" customHeight="1" x14ac:dyDescent="0.4">
      <c r="R23" s="27" t="s">
        <v>63</v>
      </c>
      <c r="S23" s="26">
        <v>0.39</v>
      </c>
    </row>
    <row r="24" spans="1:19" ht="21.95" customHeight="1" x14ac:dyDescent="0.4">
      <c r="R24" s="27" t="s">
        <v>16</v>
      </c>
      <c r="S24" s="26" t="s">
        <v>68</v>
      </c>
    </row>
    <row r="25" spans="1:19" ht="21.95" customHeight="1" x14ac:dyDescent="0.4">
      <c r="R25" s="27" t="s">
        <v>16</v>
      </c>
      <c r="S25" s="30"/>
    </row>
    <row r="26" spans="1:19" ht="21.95" customHeight="1" x14ac:dyDescent="0.4">
      <c r="R26" s="27" t="s">
        <v>16</v>
      </c>
      <c r="S26" s="26">
        <v>4.1000000000000003E-3</v>
      </c>
    </row>
    <row r="27" spans="1:19" ht="21.95" customHeight="1" x14ac:dyDescent="0.4">
      <c r="R27" s="27" t="s">
        <v>15</v>
      </c>
      <c r="S27" s="26" t="s">
        <v>68</v>
      </c>
    </row>
    <row r="28" spans="1:19" ht="21.95" customHeight="1" x14ac:dyDescent="0.4">
      <c r="R28" s="27" t="s">
        <v>15</v>
      </c>
      <c r="S28" s="30"/>
    </row>
    <row r="29" spans="1:19" ht="21.95" customHeight="1" x14ac:dyDescent="0.4">
      <c r="R29" s="27" t="s">
        <v>15</v>
      </c>
      <c r="S29" s="26">
        <v>3.2000000000000001E-2</v>
      </c>
    </row>
    <row r="30" spans="1:19" ht="21.95" customHeight="1" x14ac:dyDescent="0.4">
      <c r="R30" s="27" t="s">
        <v>64</v>
      </c>
      <c r="S30" s="26" t="s">
        <v>68</v>
      </c>
    </row>
    <row r="31" spans="1:19" ht="21.95" customHeight="1" x14ac:dyDescent="0.4">
      <c r="R31" s="27" t="s">
        <v>64</v>
      </c>
      <c r="S31" s="30"/>
    </row>
    <row r="32" spans="1:19" ht="21.95" customHeight="1" x14ac:dyDescent="0.4">
      <c r="R32" s="27" t="s">
        <v>64</v>
      </c>
      <c r="S32" s="26">
        <v>1.6E-2</v>
      </c>
    </row>
    <row r="33" spans="18:19" ht="21.95" customHeight="1" x14ac:dyDescent="0.4">
      <c r="R33" s="27" t="s">
        <v>65</v>
      </c>
      <c r="S33" s="26" t="s">
        <v>68</v>
      </c>
    </row>
    <row r="34" spans="18:19" ht="21.95" customHeight="1" x14ac:dyDescent="0.4">
      <c r="R34" s="27" t="s">
        <v>65</v>
      </c>
      <c r="S34" s="30"/>
    </row>
    <row r="35" spans="18:19" ht="21.95" customHeight="1" x14ac:dyDescent="0.4">
      <c r="R35" s="27" t="s">
        <v>65</v>
      </c>
      <c r="S35" s="26">
        <v>0.17</v>
      </c>
    </row>
    <row r="36" spans="18:19" ht="21.95" customHeight="1" x14ac:dyDescent="0.4">
      <c r="R36" s="27" t="s">
        <v>66</v>
      </c>
      <c r="S36" s="26" t="s">
        <v>68</v>
      </c>
    </row>
    <row r="37" spans="18:19" ht="21.95" customHeight="1" x14ac:dyDescent="0.4">
      <c r="R37" s="27" t="s">
        <v>66</v>
      </c>
      <c r="S37" s="30"/>
    </row>
    <row r="38" spans="18:19" ht="21.95" customHeight="1" x14ac:dyDescent="0.4">
      <c r="R38" s="27" t="s">
        <v>66</v>
      </c>
      <c r="S38" s="26">
        <v>1.95</v>
      </c>
    </row>
    <row r="39" spans="18:19" ht="21.95" customHeight="1" x14ac:dyDescent="0.4">
      <c r="R39" s="27" t="s">
        <v>67</v>
      </c>
      <c r="S39" s="26" t="s">
        <v>68</v>
      </c>
    </row>
    <row r="40" spans="18:19" ht="21.95" customHeight="1" x14ac:dyDescent="0.4">
      <c r="R40" s="27" t="s">
        <v>67</v>
      </c>
      <c r="S40" s="30"/>
    </row>
    <row r="41" spans="18:19" ht="21.95" customHeight="1" x14ac:dyDescent="0.4">
      <c r="R41" s="27" t="s">
        <v>67</v>
      </c>
      <c r="S41" s="26">
        <v>0.43</v>
      </c>
    </row>
  </sheetData>
  <mergeCells count="5">
    <mergeCell ref="A1:G1"/>
    <mergeCell ref="A2:C2"/>
    <mergeCell ref="E2:G2"/>
    <mergeCell ref="B14:C14"/>
    <mergeCell ref="F14:G14"/>
  </mergeCells>
  <phoneticPr fontId="22" type="noConversion"/>
  <pageMargins left="0.69930555555555596" right="0.69930555555555596" top="0.47152777777777799" bottom="0.43263888888888902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L21" sqref="L21"/>
    </sheetView>
  </sheetViews>
  <sheetFormatPr defaultRowHeight="13.5" x14ac:dyDescent="0.3"/>
  <sheetData/>
  <phoneticPr fontId="2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3.5" x14ac:dyDescent="0.3"/>
  <sheetData/>
  <phoneticPr fontId="2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2</vt:i4>
      </vt:variant>
    </vt:vector>
  </HeadingPairs>
  <TitlesOfParts>
    <vt:vector size="10" baseType="lpstr">
      <vt:lpstr>渣</vt:lpstr>
      <vt:lpstr>灰</vt:lpstr>
      <vt:lpstr>冰铜</vt:lpstr>
      <vt:lpstr>除尘灰</vt:lpstr>
      <vt:lpstr>锅炉灰</vt:lpstr>
      <vt:lpstr>1</vt:lpstr>
      <vt:lpstr>Sheet3</vt:lpstr>
      <vt:lpstr>Sheet1</vt:lpstr>
      <vt:lpstr>'1'!Print_Area</vt:lpstr>
      <vt:lpstr>渣!Print_Area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1042</dc:creator>
  <cp:lastModifiedBy>炫霖 陈</cp:lastModifiedBy>
  <cp:lastPrinted>2026-08-27T05:28:23Z</cp:lastPrinted>
  <dcterms:created xsi:type="dcterms:W3CDTF">2020-12-27T04:57:00Z</dcterms:created>
  <dcterms:modified xsi:type="dcterms:W3CDTF">2026-08-27T09:55:59Z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2052-11.1.0.7989</vt:lpwstr>
  </property>
  <property fmtid="{D5CDD505-2E9C-101B-9397-08002B2CF9AE}" pid="3" name="KSOReadingLayout">
    <vt:bool>false</vt:bool>
  </property>
</Properties>
</file>